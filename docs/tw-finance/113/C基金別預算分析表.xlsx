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ahbwahb\Desktop\113法預審修\EXCEL\"/>
    </mc:Choice>
  </mc:AlternateContent>
  <xr:revisionPtr revIDLastSave="0" documentId="13_ncr:1_{EA83EEED-CF8B-491A-ACCA-08BF9DD6A07D}" xr6:coauthVersionLast="47" xr6:coauthVersionMax="47" xr10:uidLastSave="{00000000-0000-0000-0000-000000000000}"/>
  <bookViews>
    <workbookView xWindow="-120" yWindow="-120" windowWidth="29040" windowHeight="15720" xr2:uid="{CEB1FACB-6923-40CD-99CE-3B531B35A5B8}"/>
  </bookViews>
  <sheets>
    <sheet name="113法定預算" sheetId="1" r:id="rId1"/>
  </sheets>
  <externalReferences>
    <externalReference r:id="rId2"/>
    <externalReference r:id="rId3"/>
    <externalReference r:id="rId4"/>
    <externalReference r:id="rId5"/>
  </externalReferences>
  <definedNames>
    <definedName name="__oil1">#REF!</definedName>
    <definedName name="__oil2">#REF!</definedName>
    <definedName name="_Fill" hidden="1">#REF!</definedName>
    <definedName name="_oil1" localSheetId="0">#REF!</definedName>
    <definedName name="_oil2" localSheetId="0">#REF!</definedName>
    <definedName name="HTML_CodePage" hidden="1">950</definedName>
    <definedName name="HTML_Control" localSheetId="0" hidden="1">{"'Sheet1'!$A$1:$I$102","'Sheet1'!$A$1:$I$104"}</definedName>
    <definedName name="HTML_Control" hidden="1">{"'Sheet1'!$A$1:$I$102","'Sheet1'!$A$1:$I$104"}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"C:\htmlchi\gtable-bb.htm"</definedName>
    <definedName name="HTML_PathTemplate" hidden="1">"C:\htmlchi\table-bbb.htm"</definedName>
    <definedName name="HTML_Title" hidden="1">""</definedName>
    <definedName name="NI">#REF!</definedName>
    <definedName name="_xlnm.Print_Area" localSheetId="0">'113法定預算'!$A$1:$H$94</definedName>
    <definedName name="Print_Area_MI">#REF!</definedName>
    <definedName name="_xlnm.Print_Titles" localSheetId="0">'113法定預算'!$1:$5</definedName>
    <definedName name="rate">#REF!</definedName>
    <definedName name="rate2" localSheetId="0">'[1]員額(2)'!#REF!</definedName>
    <definedName name="rate2">'[2]員額(2)'!#REF!</definedName>
    <definedName name="rate3" localSheetId="0">'[1]員額(2)'!#REF!</definedName>
    <definedName name="rate3">'[2]員額(2)'!#REF!</definedName>
    <definedName name="職能表預" localSheetId="0">'[3]員額(2)'!#REF!</definedName>
    <definedName name="職能表預">'[4]員額(2)'!#REF!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F9" i="1"/>
  <c r="E9" i="1"/>
  <c r="D9" i="1"/>
  <c r="C9" i="1"/>
  <c r="G87" i="1"/>
  <c r="G86" i="1" s="1"/>
  <c r="D87" i="1"/>
  <c r="D86" i="1" s="1"/>
  <c r="F86" i="1"/>
  <c r="E86" i="1"/>
  <c r="C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D77" i="1"/>
  <c r="C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G59" i="1" s="1"/>
  <c r="H60" i="1"/>
  <c r="H59" i="1" s="1"/>
  <c r="G60" i="1"/>
  <c r="F59" i="1"/>
  <c r="E59" i="1"/>
  <c r="D59" i="1"/>
  <c r="C59" i="1"/>
  <c r="H58" i="1"/>
  <c r="G58" i="1"/>
  <c r="H57" i="1"/>
  <c r="G57" i="1"/>
  <c r="F57" i="1"/>
  <c r="E57" i="1"/>
  <c r="D57" i="1"/>
  <c r="C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C43" i="1"/>
  <c r="G43" i="1" s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H26" i="1" s="1"/>
  <c r="G29" i="1"/>
  <c r="H28" i="1"/>
  <c r="G28" i="1"/>
  <c r="H27" i="1"/>
  <c r="G27" i="1"/>
  <c r="G26" i="1" s="1"/>
  <c r="F26" i="1"/>
  <c r="E26" i="1"/>
  <c r="D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H10" i="1" s="1"/>
  <c r="G11" i="1"/>
  <c r="G10" i="1" s="1"/>
  <c r="F10" i="1"/>
  <c r="E10" i="1"/>
  <c r="D10" i="1"/>
  <c r="C10" i="1"/>
  <c r="H87" i="1" l="1"/>
  <c r="H86" i="1" s="1"/>
  <c r="C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基金預算處營業彙編科王珮珊</author>
    <author>李政道</author>
  </authors>
  <commentList>
    <comment ref="A29" authorId="0" shapeId="0" xr:uid="{744A6F55-6750-45E1-90AE-D6FD21F63E68}">
      <text>
        <r>
          <rPr>
            <b/>
            <sz val="9"/>
            <color indexed="81"/>
            <rFont val="細明體"/>
            <family val="3"/>
            <charset val="136"/>
          </rPr>
          <t xml:space="preserve">111年度新設
</t>
        </r>
      </text>
    </comment>
    <comment ref="A32" authorId="1" shapeId="0" xr:uid="{78B443D2-1727-4072-AD7D-45D7D6438596}">
      <text>
        <r>
          <rPr>
            <b/>
            <sz val="9"/>
            <color indexed="81"/>
            <rFont val="細明體"/>
            <family val="3"/>
            <charset val="136"/>
          </rPr>
          <t>113新設</t>
        </r>
      </text>
    </comment>
    <comment ref="A33" authorId="0" shapeId="0" xr:uid="{A7EE6452-F664-4DB5-BDCB-18B3C73B678F}">
      <text>
        <r>
          <rPr>
            <b/>
            <sz val="9"/>
            <color indexed="81"/>
            <rFont val="細明體"/>
            <family val="3"/>
            <charset val="136"/>
          </rPr>
          <t>交大與陽明合併</t>
        </r>
      </text>
    </comment>
    <comment ref="A64" authorId="0" shapeId="0" xr:uid="{89372E0B-0629-46DB-965B-A5EE27E2358F}">
      <text>
        <r>
          <rPr>
            <b/>
            <sz val="9"/>
            <color indexed="81"/>
            <rFont val="細明體"/>
            <family val="3"/>
            <charset val="136"/>
          </rPr>
          <t>111年度新設</t>
        </r>
      </text>
    </comment>
    <comment ref="A81" authorId="0" shapeId="0" xr:uid="{85D1F078-5660-4C87-8057-E6109B7A7A0F}">
      <text>
        <r>
          <rPr>
            <b/>
            <sz val="9"/>
            <color indexed="81"/>
            <rFont val="細明體"/>
            <family val="3"/>
            <charset val="136"/>
          </rPr>
          <t xml:space="preserve">112新設置
</t>
        </r>
      </text>
    </comment>
  </commentList>
</comments>
</file>

<file path=xl/sharedStrings.xml><?xml version="1.0" encoding="utf-8"?>
<sst xmlns="http://schemas.openxmlformats.org/spreadsheetml/2006/main" count="106" uniqueCount="102">
  <si>
    <t>中央政府總預算</t>
    <phoneticPr fontId="3" type="noConversion"/>
  </si>
  <si>
    <t>參考表4</t>
    <phoneticPr fontId="4" type="noConversion"/>
  </si>
  <si>
    <t>基金別預算分析表</t>
  </si>
  <si>
    <t>中華民國113年度</t>
    <phoneticPr fontId="4" type="noConversion"/>
  </si>
  <si>
    <t>單位：新臺幣千元</t>
  </si>
  <si>
    <t>基金別</t>
  </si>
  <si>
    <t>本年度預算數</t>
  </si>
  <si>
    <t>上年度預算數</t>
  </si>
  <si>
    <t>本年度與上年度比較</t>
  </si>
  <si>
    <t>收入</t>
  </si>
  <si>
    <t>支出</t>
  </si>
  <si>
    <t>一、普通基金</t>
    <phoneticPr fontId="4" type="noConversion"/>
  </si>
  <si>
    <t>(一)總預算部分</t>
    <phoneticPr fontId="4" type="noConversion"/>
  </si>
  <si>
    <t>(二)特別預算部分</t>
    <phoneticPr fontId="4" type="noConversion"/>
  </si>
  <si>
    <t>二、特種基金</t>
  </si>
  <si>
    <t>(一)營業部分</t>
  </si>
  <si>
    <t>中央銀行</t>
  </si>
  <si>
    <t>台灣糖業股份有限公司</t>
  </si>
  <si>
    <t>台灣中油股份有限公司</t>
  </si>
  <si>
    <t>台灣電力股份有限公司</t>
  </si>
  <si>
    <t>台灣自來水股份有限公司</t>
  </si>
  <si>
    <t>中國輸出入銀行</t>
  </si>
  <si>
    <t>臺灣金融控股股份有限公司</t>
  </si>
  <si>
    <t>臺灣土地銀行股份有限公司</t>
  </si>
  <si>
    <t>財政部印刷廠</t>
  </si>
  <si>
    <t>臺灣菸酒股份有限公司</t>
    <phoneticPr fontId="4" type="noConversion"/>
  </si>
  <si>
    <t>中華郵政股份有限公司</t>
  </si>
  <si>
    <t>國營臺灣鐵路股份有限公司</t>
    <phoneticPr fontId="4" type="noConversion"/>
  </si>
  <si>
    <t>臺灣港務股份有限公司</t>
    <phoneticPr fontId="4" type="noConversion"/>
  </si>
  <si>
    <t>桃園國際機場股份有限公司</t>
    <phoneticPr fontId="4" type="noConversion"/>
  </si>
  <si>
    <t>中央存款保險股份有限公司</t>
  </si>
  <si>
    <t>(二)非營業部分－作業基金</t>
  </si>
  <si>
    <t>行政院國家發展基金</t>
  </si>
  <si>
    <t>營建建設基金</t>
  </si>
  <si>
    <t>實施平均地權基金</t>
    <phoneticPr fontId="4" type="noConversion"/>
  </si>
  <si>
    <t>國軍生產及服務作業基金</t>
  </si>
  <si>
    <t>國軍老舊眷村改建基金</t>
  </si>
  <si>
    <t>國防醫學院軍事教育基金</t>
    <phoneticPr fontId="4" type="noConversion"/>
  </si>
  <si>
    <t>國立大學校院校務基金(47所學校綜計)</t>
    <phoneticPr fontId="4" type="noConversion"/>
  </si>
  <si>
    <t>國立臺灣大學附設醫院作業基金</t>
  </si>
  <si>
    <t>國立成功大學附設醫院作業基金</t>
  </si>
  <si>
    <t>國立陽明交通大學附設醫院作業基金</t>
    <phoneticPr fontId="4" type="noConversion"/>
  </si>
  <si>
    <t>教育部所屬機構作業基金</t>
    <phoneticPr fontId="4" type="noConversion"/>
  </si>
  <si>
    <t xml:space="preserve">國立高級中等學校校務基金 </t>
  </si>
  <si>
    <t>法務部矯正機關作業基金</t>
  </si>
  <si>
    <t>經濟作業基金</t>
  </si>
  <si>
    <t>水資源作業基金</t>
  </si>
  <si>
    <t>交通作業基金</t>
  </si>
  <si>
    <t>國軍退除役官兵安置基金</t>
  </si>
  <si>
    <t>榮民醫療作業基金</t>
  </si>
  <si>
    <t>科學園區管理局作業基金</t>
    <phoneticPr fontId="4" type="noConversion"/>
  </si>
  <si>
    <t>農業作業基金</t>
  </si>
  <si>
    <t>農田水利事業作業基金</t>
    <phoneticPr fontId="4" type="noConversion"/>
  </si>
  <si>
    <t>勞工保險局作業基金</t>
  </si>
  <si>
    <t>醫療藥品基金</t>
  </si>
  <si>
    <t>管制藥品製藥工廠作業基金</t>
  </si>
  <si>
    <t>全民健康保險基金</t>
  </si>
  <si>
    <t>國民年金保險基金</t>
  </si>
  <si>
    <t>國立文化機構作業基金</t>
  </si>
  <si>
    <t>故宮文物藝術發展基金</t>
  </si>
  <si>
    <t>原住民族綜合發展基金</t>
  </si>
  <si>
    <t>考選業務基金</t>
  </si>
  <si>
    <t>(三)非營業部分－債務基金</t>
  </si>
  <si>
    <t>中央政府債務基金</t>
  </si>
  <si>
    <t>(四)非營業部分－特別收入
　  基金</t>
  </si>
  <si>
    <t>中央研究院科學研究基金</t>
  </si>
  <si>
    <t>行政院國家科學技術發展基金</t>
  </si>
  <si>
    <t>離島建設基金</t>
  </si>
  <si>
    <t>花東地區永續發展基金</t>
  </si>
  <si>
    <t>促進轉型正義基金</t>
    <phoneticPr fontId="4" type="noConversion"/>
  </si>
  <si>
    <t>新住民發展基金</t>
  </si>
  <si>
    <t>研發及產業訓儲替代役基金</t>
  </si>
  <si>
    <t>警察消防海巡移民空勤人員及協勤民力安全基金</t>
  </si>
  <si>
    <t>國土永續發展基金</t>
  </si>
  <si>
    <t>學產基金</t>
  </si>
  <si>
    <t>運動發展基金</t>
  </si>
  <si>
    <t>私立高級中等以上學校退場基金</t>
    <phoneticPr fontId="4" type="noConversion"/>
  </si>
  <si>
    <t>毒品防制基金</t>
    <phoneticPr fontId="4" type="noConversion"/>
  </si>
  <si>
    <t>經濟特別收入基金</t>
  </si>
  <si>
    <t>核能發電後端營運基金</t>
  </si>
  <si>
    <t>航港建設基金</t>
  </si>
  <si>
    <t>核子事故緊急應變基金</t>
  </si>
  <si>
    <t>農業特別收入基金</t>
  </si>
  <si>
    <t>就業安定基金</t>
  </si>
  <si>
    <t>衛生福利特別收入基金</t>
  </si>
  <si>
    <t>環境保護基金</t>
  </si>
  <si>
    <t>文化發展基金</t>
  </si>
  <si>
    <t>金融監督管理基金</t>
  </si>
  <si>
    <t>通訊傳播監督管理基金</t>
  </si>
  <si>
    <t>有線廣播電視事業發展基金</t>
  </si>
  <si>
    <t>反托拉斯基金</t>
  </si>
  <si>
    <t>(五)非營業部分－資本計畫
　  基金</t>
  </si>
  <si>
    <t>國軍營舍及設施改建基金</t>
  </si>
  <si>
    <t>附註：</t>
  </si>
  <si>
    <t>1.</t>
  </si>
  <si>
    <t>普通基金之「收入」及「支出」分別為總預算之歲入及歲出。</t>
  </si>
  <si>
    <t>2.</t>
  </si>
  <si>
    <t>特別預算之收入不含自償性財源；支出不含自償性經費。</t>
  </si>
  <si>
    <t>特種基金之「營業部分」，其「收入」包括營業收入、營業外收入等，「支出」包括營業成本、營業費用、營業外費用及所得稅費用等；「非營業部分－作業基金」，其「收入」包括業務收入、業務外收入等，「支出」包括業務成本與費用、業務外費用等；「非營業部分－債務基金」、「非營業部分－特別收入基金」及「非營業部分－資本計畫基金」，其「收入」及「支出」分別為基金來源及基金用途。</t>
  </si>
  <si>
    <r>
      <rPr>
        <sz val="12"/>
        <color theme="1"/>
        <rFont val="新細明體"/>
        <family val="1"/>
        <charset val="136"/>
      </rPr>
      <t>特種基金之非營業部分，配合行政院組織調整，榮民森林保育事業管理處業務於</t>
    </r>
    <r>
      <rPr>
        <sz val="12"/>
        <color theme="1"/>
        <rFont val="Times New Roman"/>
        <family val="1"/>
      </rPr>
      <t>112</t>
    </r>
    <r>
      <rPr>
        <sz val="12"/>
        <color theme="1"/>
        <rFont val="新細明體"/>
        <family val="1"/>
        <charset val="136"/>
      </rPr>
      <t>年</t>
    </r>
    <r>
      <rPr>
        <sz val="12"/>
        <color theme="1"/>
        <rFont val="Times New Roman"/>
        <family val="1"/>
      </rPr>
      <t>8</t>
    </r>
    <r>
      <rPr>
        <sz val="12"/>
        <color theme="1"/>
        <rFont val="新細明體"/>
        <family val="1"/>
        <charset val="136"/>
      </rPr>
      <t>月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日併入農業部林業及自然保育署，裁撤國軍退除役官兵安置基金項下之森林保育事業管理處，為利比較分析，</t>
    </r>
    <r>
      <rPr>
        <sz val="12"/>
        <color theme="1"/>
        <rFont val="Times New Roman"/>
        <family val="1"/>
      </rPr>
      <t>112</t>
    </r>
    <r>
      <rPr>
        <sz val="12"/>
        <color theme="1"/>
        <rFont val="新細明體"/>
        <family val="1"/>
        <charset val="136"/>
      </rPr>
      <t>年度預算數配合調整。</t>
    </r>
    <phoneticPr fontId="4" type="noConversion"/>
  </si>
  <si>
    <r>
      <rPr>
        <sz val="12"/>
        <color theme="1"/>
        <rFont val="新細明體"/>
        <family val="1"/>
        <charset val="136"/>
      </rPr>
      <t>特種基金之營業部分及非營業部分之作業基金，其固定資產建設改良擴充、資金轉投資等資本支出，</t>
    </r>
    <r>
      <rPr>
        <sz val="12"/>
        <color theme="1"/>
        <rFont val="Times New Roman"/>
        <family val="1"/>
      </rPr>
      <t>113</t>
    </r>
    <r>
      <rPr>
        <sz val="12"/>
        <color theme="1"/>
        <rFont val="新細明體"/>
        <family val="1"/>
        <charset val="136"/>
      </rPr>
      <t>年度共計</t>
    </r>
    <r>
      <rPr>
        <sz val="12"/>
        <color theme="1"/>
        <rFont val="Times New Roman"/>
        <family val="1"/>
      </rPr>
      <t>4,898</t>
    </r>
    <r>
      <rPr>
        <sz val="12"/>
        <color theme="1"/>
        <rFont val="新細明體"/>
        <family val="1"/>
        <charset val="136"/>
      </rPr>
      <t>億元，未列入各該基金之支出。</t>
    </r>
    <phoneticPr fontId="4" type="noConversion"/>
  </si>
  <si>
    <r>
      <rPr>
        <sz val="12"/>
        <color theme="1"/>
        <rFont val="新細明體"/>
        <family val="1"/>
        <charset val="136"/>
      </rPr>
      <t>總預算</t>
    </r>
    <r>
      <rPr>
        <sz val="12"/>
        <color theme="1"/>
        <rFont val="Times New Roman"/>
        <family val="1"/>
      </rPr>
      <t>113</t>
    </r>
    <r>
      <rPr>
        <sz val="12"/>
        <color theme="1"/>
        <rFont val="新細明體"/>
        <family val="1"/>
        <charset val="136"/>
      </rPr>
      <t>年度現金撥充基金</t>
    </r>
    <r>
      <rPr>
        <sz val="12"/>
        <color theme="1"/>
        <rFont val="Times New Roman"/>
        <family val="1"/>
      </rPr>
      <t>1,533</t>
    </r>
    <r>
      <rPr>
        <sz val="12"/>
        <color theme="1"/>
        <rFont val="新細明體"/>
        <family val="1"/>
        <charset val="136"/>
      </rPr>
      <t>億元、特別預算</t>
    </r>
    <r>
      <rPr>
        <sz val="12"/>
        <color theme="1"/>
        <rFont val="Times New Roman"/>
        <family val="1"/>
      </rPr>
      <t>113</t>
    </r>
    <r>
      <rPr>
        <sz val="12"/>
        <color theme="1"/>
        <rFont val="新細明體"/>
        <family val="1"/>
        <charset val="136"/>
      </rPr>
      <t>年度現金撥充基金</t>
    </r>
    <r>
      <rPr>
        <sz val="12"/>
        <color theme="1"/>
        <rFont val="Times New Roman"/>
        <family val="1"/>
      </rPr>
      <t>129</t>
    </r>
    <r>
      <rPr>
        <sz val="12"/>
        <color theme="1"/>
        <rFont val="新細明體"/>
        <family val="1"/>
        <charset val="136"/>
      </rPr>
      <t>億元，作為各該基金興建其設施、設備等所需資金，因非經常性收支，故均未計入前開各基金之收入及支出。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</si>
</sst>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,##0."/>
  </numFmts>
  <fonts count="17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</font>
    <font>
      <b/>
      <sz val="9"/>
      <color indexed="81"/>
      <name val="細明體"/>
      <family val="3"/>
      <charset val="136"/>
    </font>
    <font>
      <sz val="14"/>
      <color theme="1"/>
      <name val="新細明體"/>
      <family val="1"/>
      <charset val="136"/>
    </font>
    <font>
      <b/>
      <sz val="18"/>
      <color theme="1"/>
      <name val="新細明體"/>
      <family val="1"/>
      <charset val="136"/>
    </font>
    <font>
      <b/>
      <sz val="18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b/>
      <sz val="20"/>
      <color theme="1"/>
      <name val="新細明體"/>
      <family val="1"/>
      <charset val="136"/>
    </font>
    <font>
      <sz val="12"/>
      <color theme="1"/>
      <name val="標楷體"/>
      <family val="4"/>
      <charset val="136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5" fillId="2" borderId="0" xfId="0" applyFont="1" applyFill="1"/>
    <xf numFmtId="176" fontId="5" fillId="2" borderId="0" xfId="0" applyNumberFormat="1" applyFont="1" applyFill="1"/>
    <xf numFmtId="0" fontId="7" fillId="0" borderId="0" xfId="1" applyNumberFormat="1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/>
    </xf>
    <xf numFmtId="0" fontId="5" fillId="0" borderId="0" xfId="0" applyFont="1" applyFill="1"/>
    <xf numFmtId="0" fontId="7" fillId="0" borderId="0" xfId="0" applyFont="1" applyFill="1" applyBorder="1" applyAlignment="1"/>
    <xf numFmtId="0" fontId="13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distributed" vertical="center" justifyLastLine="1"/>
    </xf>
    <xf numFmtId="0" fontId="10" fillId="0" borderId="4" xfId="0" applyFont="1" applyFill="1" applyBorder="1" applyAlignment="1">
      <alignment horizontal="distributed" vertical="center" justifyLastLine="1"/>
    </xf>
    <xf numFmtId="0" fontId="10" fillId="0" borderId="5" xfId="0" applyFont="1" applyFill="1" applyBorder="1" applyAlignment="1">
      <alignment horizontal="distributed" vertical="center" justifyLastLine="1"/>
    </xf>
    <xf numFmtId="0" fontId="5" fillId="0" borderId="0" xfId="0" applyFont="1" applyFill="1" applyAlignment="1">
      <alignment horizontal="distributed" vertical="center" justifyLastLine="1"/>
    </xf>
    <xf numFmtId="176" fontId="14" fillId="0" borderId="7" xfId="0" applyNumberFormat="1" applyFont="1" applyFill="1" applyBorder="1" applyAlignment="1">
      <alignment vertical="top"/>
    </xf>
    <xf numFmtId="176" fontId="14" fillId="0" borderId="8" xfId="0" applyNumberFormat="1" applyFont="1" applyFill="1" applyBorder="1" applyAlignment="1">
      <alignment vertical="top"/>
    </xf>
    <xf numFmtId="176" fontId="14" fillId="0" borderId="9" xfId="0" applyNumberFormat="1" applyFont="1" applyFill="1" applyBorder="1" applyAlignment="1">
      <alignment vertical="top"/>
    </xf>
    <xf numFmtId="41" fontId="14" fillId="0" borderId="7" xfId="0" applyNumberFormat="1" applyFont="1" applyFill="1" applyBorder="1" applyAlignment="1">
      <alignment vertical="top"/>
    </xf>
    <xf numFmtId="176" fontId="14" fillId="0" borderId="9" xfId="0" applyNumberFormat="1" applyFont="1" applyBorder="1" applyAlignment="1">
      <alignment vertical="top"/>
    </xf>
    <xf numFmtId="176" fontId="14" fillId="0" borderId="7" xfId="0" applyNumberFormat="1" applyFont="1" applyBorder="1" applyAlignment="1">
      <alignment vertical="top"/>
    </xf>
    <xf numFmtId="177" fontId="5" fillId="0" borderId="0" xfId="0" applyNumberFormat="1" applyFont="1" applyAlignment="1">
      <alignment vertical="top"/>
    </xf>
    <xf numFmtId="0" fontId="5" fillId="0" borderId="6" xfId="0" applyFont="1" applyBorder="1" applyAlignment="1">
      <alignment vertical="top" wrapText="1" shrinkToFit="1"/>
    </xf>
    <xf numFmtId="0" fontId="5" fillId="0" borderId="6" xfId="0" applyFont="1" applyBorder="1" applyAlignment="1">
      <alignment horizontal="left" vertical="top" wrapText="1" shrinkToFit="1"/>
    </xf>
    <xf numFmtId="41" fontId="14" fillId="0" borderId="7" xfId="0" applyNumberFormat="1" applyFont="1" applyBorder="1" applyAlignment="1">
      <alignment vertical="top"/>
    </xf>
    <xf numFmtId="177" fontId="5" fillId="0" borderId="1" xfId="0" applyNumberFormat="1" applyFont="1" applyBorder="1" applyAlignment="1">
      <alignment vertical="top"/>
    </xf>
    <xf numFmtId="0" fontId="5" fillId="0" borderId="10" xfId="0" applyFont="1" applyBorder="1" applyAlignment="1">
      <alignment vertical="top" wrapText="1" shrinkToFit="1"/>
    </xf>
    <xf numFmtId="176" fontId="14" fillId="0" borderId="11" xfId="0" applyNumberFormat="1" applyFont="1" applyBorder="1" applyAlignment="1">
      <alignment vertical="top"/>
    </xf>
    <xf numFmtId="176" fontId="14" fillId="0" borderId="12" xfId="0" applyNumberFormat="1" applyFont="1" applyBorder="1" applyAlignment="1">
      <alignment vertical="top"/>
    </xf>
    <xf numFmtId="0" fontId="5" fillId="0" borderId="0" xfId="0" applyFont="1" applyFill="1" applyAlignment="1">
      <alignment horizontal="distributed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top" wrapText="1" shrinkToFit="1"/>
    </xf>
    <xf numFmtId="176" fontId="14" fillId="0" borderId="14" xfId="0" applyNumberFormat="1" applyFont="1" applyBorder="1" applyAlignment="1">
      <alignment vertical="top"/>
    </xf>
    <xf numFmtId="41" fontId="14" fillId="0" borderId="7" xfId="0" applyNumberFormat="1" applyFont="1" applyBorder="1" applyAlignment="1">
      <alignment horizontal="right" vertical="top"/>
    </xf>
    <xf numFmtId="0" fontId="5" fillId="0" borderId="0" xfId="0" applyFont="1" applyFill="1" applyAlignment="1">
      <alignment vertical="top"/>
    </xf>
    <xf numFmtId="176" fontId="14" fillId="0" borderId="13" xfId="0" applyNumberFormat="1" applyFont="1" applyFill="1" applyBorder="1" applyAlignment="1">
      <alignment vertical="top"/>
    </xf>
    <xf numFmtId="177" fontId="5" fillId="0" borderId="0" xfId="0" quotePrefix="1" applyNumberFormat="1" applyFont="1" applyAlignment="1">
      <alignment horizontal="right" vertical="top"/>
    </xf>
    <xf numFmtId="0" fontId="5" fillId="0" borderId="0" xfId="1" applyNumberFormat="1" applyFont="1" applyFill="1" applyAlignment="1">
      <alignment vertical="center"/>
    </xf>
    <xf numFmtId="176" fontId="5" fillId="0" borderId="0" xfId="0" applyNumberFormat="1" applyFont="1" applyFill="1"/>
    <xf numFmtId="41" fontId="5" fillId="0" borderId="0" xfId="0" applyNumberFormat="1" applyFont="1" applyFill="1"/>
    <xf numFmtId="0" fontId="16" fillId="0" borderId="0" xfId="0" applyFont="1" applyAlignment="1">
      <alignment horizontal="justify" vertical="top" wrapText="1" shrinkToFit="1"/>
    </xf>
    <xf numFmtId="0" fontId="15" fillId="0" borderId="0" xfId="0" applyFont="1" applyAlignment="1">
      <alignment horizontal="justify" vertical="top" wrapText="1" shrinkToFit="1"/>
    </xf>
    <xf numFmtId="177" fontId="5" fillId="0" borderId="0" xfId="0" applyNumberFormat="1" applyFont="1" applyAlignment="1">
      <alignment vertical="top" wrapText="1"/>
    </xf>
    <xf numFmtId="177" fontId="5" fillId="0" borderId="6" xfId="0" applyNumberFormat="1" applyFont="1" applyBorder="1" applyAlignment="1">
      <alignment vertical="top" wrapText="1"/>
    </xf>
    <xf numFmtId="177" fontId="5" fillId="0" borderId="13" xfId="0" applyNumberFormat="1" applyFont="1" applyFill="1" applyBorder="1" applyAlignment="1">
      <alignment vertical="top"/>
    </xf>
    <xf numFmtId="0" fontId="5" fillId="0" borderId="0" xfId="0" applyFont="1" applyAlignment="1">
      <alignment horizontal="justify" vertical="top" wrapText="1" shrinkToFit="1"/>
    </xf>
    <xf numFmtId="0" fontId="5" fillId="0" borderId="0" xfId="0" applyFont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0" xfId="0" applyFont="1" applyFill="1" applyBorder="1" applyAlignment="1" applyProtection="1">
      <alignment horizontal="left" vertical="top" wrapText="1" shrinkToFit="1"/>
    </xf>
    <xf numFmtId="0" fontId="5" fillId="0" borderId="6" xfId="0" applyFont="1" applyFill="1" applyBorder="1" applyAlignment="1" applyProtection="1">
      <alignment horizontal="left" vertical="top" wrapText="1" shrinkToFit="1"/>
    </xf>
    <xf numFmtId="0" fontId="5" fillId="0" borderId="0" xfId="0" applyFont="1" applyFill="1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10" fillId="0" borderId="4" xfId="0" applyFont="1" applyFill="1" applyBorder="1" applyAlignment="1">
      <alignment horizontal="distributed" vertical="center" justifyLastLine="1"/>
    </xf>
    <xf numFmtId="0" fontId="10" fillId="0" borderId="5" xfId="0" applyFont="1" applyFill="1" applyBorder="1" applyAlignment="1">
      <alignment horizontal="distributed" vertical="center" justifyLastLine="1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distributed" vertical="center" justifyLastLine="1"/>
    </xf>
    <xf numFmtId="0" fontId="10" fillId="0" borderId="3" xfId="0" applyFont="1" applyFill="1" applyBorder="1" applyAlignment="1">
      <alignment horizontal="distributed" vertical="center" justifyLastLine="1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</cellXfs>
  <cellStyles count="2">
    <cellStyle name="一般" xfId="0" builtinId="0"/>
    <cellStyle name="一般_縣市收支估計" xfId="1" xr:uid="{5087A49D-4BDE-4480-B45A-A4CF5DFC4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gbas.gov.tw/&#38928;&#31639;/89&#38928;&#31639;/&#38928;&#31639;/88&#38928;&#31639;/88bgt-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8928;&#31639;/89&#38928;&#31639;/&#38928;&#31639;/88&#38928;&#31639;/88bgt-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gbas.gov.tw/&#38928;&#31639;/89&#38928;&#31639;/bgt89-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8928;&#31639;/89&#38928;&#31639;/bgt89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員額(2)"/>
      <sheetName val="約聘(1)"/>
      <sheetName val="員額 (1)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員額_2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員額(2)"/>
      <sheetName val="約聘(1)"/>
      <sheetName val="員額 (1)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員額_2_"/>
      <sheetName val="員額_(1)"/>
      <sheetName val="職能_(2)"/>
      <sheetName val="員額_(1)1"/>
      <sheetName val="職能_(2)1"/>
      <sheetName val="員額_(1)3"/>
      <sheetName val="職能_(2)3"/>
      <sheetName val="員額_(1)2"/>
      <sheetName val="職能_(2)2"/>
      <sheetName val="員額_(1)4"/>
      <sheetName val="職能_(2)4"/>
      <sheetName val="員額_(1)5"/>
      <sheetName val="職能_(2)5"/>
      <sheetName val="員額_(1)6"/>
      <sheetName val="職能_(2)6"/>
      <sheetName val="員額_(1)7"/>
      <sheetName val="職能_(2)7"/>
      <sheetName val="員額_(1)8"/>
      <sheetName val="職能_(2)8"/>
      <sheetName val="員額_(1)9"/>
      <sheetName val="職能_(2)9"/>
      <sheetName val="員額_(1)10"/>
      <sheetName val="職能_(2)10"/>
      <sheetName val="員額_(1)11"/>
      <sheetName val="職能_(2)11"/>
      <sheetName val="員額_(1)12"/>
      <sheetName val="職能_(2)12"/>
      <sheetName val="員額_(1)13"/>
      <sheetName val="職能_(2)13"/>
      <sheetName val="員額_(1)14"/>
      <sheetName val="職能_(2)14"/>
      <sheetName val="員額_(1)15"/>
      <sheetName val="職能_(2)15"/>
      <sheetName val="員額_(1)16"/>
      <sheetName val="職能_(2)16"/>
      <sheetName val="員額_(1)20"/>
      <sheetName val="職能_(2)20"/>
      <sheetName val="員額_(1)17"/>
      <sheetName val="職能_(2)17"/>
      <sheetName val="員額_(1)18"/>
      <sheetName val="職能_(2)18"/>
      <sheetName val="員額_(1)19"/>
      <sheetName val="職能_(2)19"/>
      <sheetName val="員額_(1)21"/>
      <sheetName val="職能_(2)21"/>
      <sheetName val="員額_(1)22"/>
      <sheetName val="職能_(2)22"/>
      <sheetName val="員額_(1)23"/>
      <sheetName val="職能_(2)23"/>
      <sheetName val="員額_(1)24"/>
      <sheetName val="職能_(2)24"/>
      <sheetName val="員額_(1)25"/>
      <sheetName val="職能_(2)25"/>
      <sheetName val="員額_(1)26"/>
      <sheetName val="職能_(2)26"/>
      <sheetName val="人基表89"/>
      <sheetName val="員額_(1)28"/>
      <sheetName val="職能_(2)28"/>
      <sheetName val="員額_(1)27"/>
      <sheetName val="職能_(2)27"/>
      <sheetName val="員額_(1)34"/>
      <sheetName val="職能_(2)34"/>
      <sheetName val="員額_(1)33"/>
      <sheetName val="職能_(2)33"/>
      <sheetName val="員額_(1)32"/>
      <sheetName val="職能_(2)32"/>
      <sheetName val="員額_(1)31"/>
      <sheetName val="職能_(2)31"/>
      <sheetName val="員額_(1)29"/>
      <sheetName val="職能_(2)29"/>
      <sheetName val="員額_(1)30"/>
      <sheetName val="職能_(2)30"/>
      <sheetName val="員額_(1)35"/>
      <sheetName val="職能_(2)35"/>
      <sheetName val="員額_(1)36"/>
      <sheetName val="職能_(2)36"/>
      <sheetName val="機關明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約聘(1)"/>
      <sheetName val="員額 (1)"/>
      <sheetName val="員額(2)"/>
      <sheetName val="車輛"/>
      <sheetName val="房舍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移轉性支付預算表"/>
      <sheetName val="員額_2_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人事費(2)"/>
      <sheetName val="約聘(1)"/>
      <sheetName val="員額 (1)"/>
      <sheetName val="員額(2)"/>
      <sheetName val="車輛"/>
      <sheetName val="房舍"/>
      <sheetName val="轉帳"/>
      <sheetName val="出國-總"/>
      <sheetName val="出國-考察"/>
      <sheetName val="出國-開會"/>
      <sheetName val="出國-進修"/>
      <sheetName val="出國刪減"/>
      <sheetName val="職能"/>
      <sheetName val="職能 (2)"/>
      <sheetName val="移轉性支付預算表"/>
      <sheetName val="員額_2_"/>
      <sheetName val="員工人數及給與計算表old"/>
      <sheetName val="員額_(1)"/>
      <sheetName val="職能_(2)"/>
      <sheetName val="員額_(1)1"/>
      <sheetName val="職能_(2)1"/>
      <sheetName val="員額_(1)3"/>
      <sheetName val="職能_(2)3"/>
      <sheetName val="員額_(1)2"/>
      <sheetName val="職能_(2)2"/>
      <sheetName val="員額_(1)4"/>
      <sheetName val="職能_(2)4"/>
      <sheetName val="員額_(1)5"/>
      <sheetName val="職能_(2)5"/>
      <sheetName val="員額_(1)6"/>
      <sheetName val="職能_(2)6"/>
      <sheetName val="員額_(1)7"/>
      <sheetName val="職能_(2)7"/>
      <sheetName val="員額_(1)8"/>
      <sheetName val="職能_(2)8"/>
      <sheetName val="員額_(1)9"/>
      <sheetName val="職能_(2)9"/>
      <sheetName val="員額_(1)10"/>
      <sheetName val="職能_(2)10"/>
      <sheetName val="員額_(1)11"/>
      <sheetName val="職能_(2)11"/>
      <sheetName val="員額_(1)12"/>
      <sheetName val="職能_(2)12"/>
      <sheetName val="員額_(1)13"/>
      <sheetName val="職能_(2)13"/>
      <sheetName val="員額_(1)14"/>
      <sheetName val="職能_(2)14"/>
      <sheetName val="員額_(1)15"/>
      <sheetName val="職能_(2)15"/>
      <sheetName val="員額_(1)16"/>
      <sheetName val="職能_(2)16"/>
      <sheetName val="員額_(1)20"/>
      <sheetName val="職能_(2)20"/>
      <sheetName val="員額_(1)17"/>
      <sheetName val="職能_(2)17"/>
      <sheetName val="員額_(1)18"/>
      <sheetName val="職能_(2)18"/>
      <sheetName val="員額_(1)19"/>
      <sheetName val="職能_(2)19"/>
      <sheetName val="員額_(1)21"/>
      <sheetName val="職能_(2)21"/>
      <sheetName val="員額_(1)22"/>
      <sheetName val="職能_(2)22"/>
      <sheetName val="員額_(1)23"/>
      <sheetName val="職能_(2)23"/>
      <sheetName val="員額_(1)24"/>
      <sheetName val="職能_(2)24"/>
      <sheetName val="員額_(1)25"/>
      <sheetName val="職能_(2)25"/>
      <sheetName val="員額_(1)26"/>
      <sheetName val="職能_(2)26"/>
      <sheetName val="員額_(1)28"/>
      <sheetName val="職能_(2)28"/>
      <sheetName val="員額_(1)27"/>
      <sheetName val="職能_(2)27"/>
      <sheetName val="員額_(1)34"/>
      <sheetName val="職能_(2)34"/>
      <sheetName val="員額_(1)33"/>
      <sheetName val="職能_(2)33"/>
      <sheetName val="員額_(1)32"/>
      <sheetName val="職能_(2)32"/>
      <sheetName val="員額_(1)31"/>
      <sheetName val="職能_(2)31"/>
      <sheetName val="員額_(1)29"/>
      <sheetName val="職能_(2)29"/>
      <sheetName val="員額_(1)30"/>
      <sheetName val="職能_(2)30"/>
      <sheetName val="員額_(1)35"/>
      <sheetName val="職能_(2)35"/>
      <sheetName val="員額_(1)36"/>
      <sheetName val="職能_(2)36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747F-8D0F-4494-A408-6CF33C835DDF}">
  <sheetPr>
    <tabColor rgb="FFFF0000"/>
    <pageSetUpPr fitToPage="1"/>
  </sheetPr>
  <dimension ref="A1:H107"/>
  <sheetViews>
    <sheetView tabSelected="1" zoomScaleNormal="100" zoomScaleSheetLayoutView="100" workbookViewId="0"/>
  </sheetViews>
  <sheetFormatPr defaultRowHeight="16.5" outlineLevelRow="1"/>
  <cols>
    <col min="1" max="1" width="4.5" style="7" customWidth="1"/>
    <col min="2" max="2" width="23.125" style="1" customWidth="1"/>
    <col min="3" max="3" width="15.125" style="1" customWidth="1"/>
    <col min="4" max="4" width="15" style="1" customWidth="1"/>
    <col min="5" max="5" width="15.125" style="7" customWidth="1"/>
    <col min="6" max="8" width="15" style="7" customWidth="1"/>
    <col min="9" max="234" width="9" style="7"/>
    <col min="235" max="235" width="4.5" style="7" customWidth="1"/>
    <col min="236" max="236" width="23.125" style="7" customWidth="1"/>
    <col min="237" max="237" width="15.125" style="7" customWidth="1"/>
    <col min="238" max="238" width="15" style="7" customWidth="1"/>
    <col min="239" max="239" width="15.125" style="7" customWidth="1"/>
    <col min="240" max="242" width="15" style="7" customWidth="1"/>
    <col min="243" max="243" width="14.25" style="7" customWidth="1"/>
    <col min="244" max="244" width="15" style="7" customWidth="1"/>
    <col min="245" max="245" width="18.5" style="7" customWidth="1"/>
    <col min="246" max="258" width="15" style="7" customWidth="1"/>
    <col min="259" max="264" width="18.5" style="7" customWidth="1"/>
    <col min="265" max="490" width="9" style="7"/>
    <col min="491" max="491" width="4.5" style="7" customWidth="1"/>
    <col min="492" max="492" width="23.125" style="7" customWidth="1"/>
    <col min="493" max="493" width="15.125" style="7" customWidth="1"/>
    <col min="494" max="494" width="15" style="7" customWidth="1"/>
    <col min="495" max="495" width="15.125" style="7" customWidth="1"/>
    <col min="496" max="498" width="15" style="7" customWidth="1"/>
    <col min="499" max="499" width="14.25" style="7" customWidth="1"/>
    <col min="500" max="500" width="15" style="7" customWidth="1"/>
    <col min="501" max="501" width="18.5" style="7" customWidth="1"/>
    <col min="502" max="514" width="15" style="7" customWidth="1"/>
    <col min="515" max="520" width="18.5" style="7" customWidth="1"/>
    <col min="521" max="746" width="9" style="7"/>
    <col min="747" max="747" width="4.5" style="7" customWidth="1"/>
    <col min="748" max="748" width="23.125" style="7" customWidth="1"/>
    <col min="749" max="749" width="15.125" style="7" customWidth="1"/>
    <col min="750" max="750" width="15" style="7" customWidth="1"/>
    <col min="751" max="751" width="15.125" style="7" customWidth="1"/>
    <col min="752" max="754" width="15" style="7" customWidth="1"/>
    <col min="755" max="755" width="14.25" style="7" customWidth="1"/>
    <col min="756" max="756" width="15" style="7" customWidth="1"/>
    <col min="757" max="757" width="18.5" style="7" customWidth="1"/>
    <col min="758" max="770" width="15" style="7" customWidth="1"/>
    <col min="771" max="776" width="18.5" style="7" customWidth="1"/>
    <col min="777" max="1002" width="9" style="7"/>
    <col min="1003" max="1003" width="4.5" style="7" customWidth="1"/>
    <col min="1004" max="1004" width="23.125" style="7" customWidth="1"/>
    <col min="1005" max="1005" width="15.125" style="7" customWidth="1"/>
    <col min="1006" max="1006" width="15" style="7" customWidth="1"/>
    <col min="1007" max="1007" width="15.125" style="7" customWidth="1"/>
    <col min="1008" max="1010" width="15" style="7" customWidth="1"/>
    <col min="1011" max="1011" width="14.25" style="7" customWidth="1"/>
    <col min="1012" max="1012" width="15" style="7" customWidth="1"/>
    <col min="1013" max="1013" width="18.5" style="7" customWidth="1"/>
    <col min="1014" max="1026" width="15" style="7" customWidth="1"/>
    <col min="1027" max="1032" width="18.5" style="7" customWidth="1"/>
    <col min="1033" max="1258" width="9" style="7"/>
    <col min="1259" max="1259" width="4.5" style="7" customWidth="1"/>
    <col min="1260" max="1260" width="23.125" style="7" customWidth="1"/>
    <col min="1261" max="1261" width="15.125" style="7" customWidth="1"/>
    <col min="1262" max="1262" width="15" style="7" customWidth="1"/>
    <col min="1263" max="1263" width="15.125" style="7" customWidth="1"/>
    <col min="1264" max="1266" width="15" style="7" customWidth="1"/>
    <col min="1267" max="1267" width="14.25" style="7" customWidth="1"/>
    <col min="1268" max="1268" width="15" style="7" customWidth="1"/>
    <col min="1269" max="1269" width="18.5" style="7" customWidth="1"/>
    <col min="1270" max="1282" width="15" style="7" customWidth="1"/>
    <col min="1283" max="1288" width="18.5" style="7" customWidth="1"/>
    <col min="1289" max="1514" width="9" style="7"/>
    <col min="1515" max="1515" width="4.5" style="7" customWidth="1"/>
    <col min="1516" max="1516" width="23.125" style="7" customWidth="1"/>
    <col min="1517" max="1517" width="15.125" style="7" customWidth="1"/>
    <col min="1518" max="1518" width="15" style="7" customWidth="1"/>
    <col min="1519" max="1519" width="15.125" style="7" customWidth="1"/>
    <col min="1520" max="1522" width="15" style="7" customWidth="1"/>
    <col min="1523" max="1523" width="14.25" style="7" customWidth="1"/>
    <col min="1524" max="1524" width="15" style="7" customWidth="1"/>
    <col min="1525" max="1525" width="18.5" style="7" customWidth="1"/>
    <col min="1526" max="1538" width="15" style="7" customWidth="1"/>
    <col min="1539" max="1544" width="18.5" style="7" customWidth="1"/>
    <col min="1545" max="1770" width="9" style="7"/>
    <col min="1771" max="1771" width="4.5" style="7" customWidth="1"/>
    <col min="1772" max="1772" width="23.125" style="7" customWidth="1"/>
    <col min="1773" max="1773" width="15.125" style="7" customWidth="1"/>
    <col min="1774" max="1774" width="15" style="7" customWidth="1"/>
    <col min="1775" max="1775" width="15.125" style="7" customWidth="1"/>
    <col min="1776" max="1778" width="15" style="7" customWidth="1"/>
    <col min="1779" max="1779" width="14.25" style="7" customWidth="1"/>
    <col min="1780" max="1780" width="15" style="7" customWidth="1"/>
    <col min="1781" max="1781" width="18.5" style="7" customWidth="1"/>
    <col min="1782" max="1794" width="15" style="7" customWidth="1"/>
    <col min="1795" max="1800" width="18.5" style="7" customWidth="1"/>
    <col min="1801" max="2026" width="9" style="7"/>
    <col min="2027" max="2027" width="4.5" style="7" customWidth="1"/>
    <col min="2028" max="2028" width="23.125" style="7" customWidth="1"/>
    <col min="2029" max="2029" width="15.125" style="7" customWidth="1"/>
    <col min="2030" max="2030" width="15" style="7" customWidth="1"/>
    <col min="2031" max="2031" width="15.125" style="7" customWidth="1"/>
    <col min="2032" max="2034" width="15" style="7" customWidth="1"/>
    <col min="2035" max="2035" width="14.25" style="7" customWidth="1"/>
    <col min="2036" max="2036" width="15" style="7" customWidth="1"/>
    <col min="2037" max="2037" width="18.5" style="7" customWidth="1"/>
    <col min="2038" max="2050" width="15" style="7" customWidth="1"/>
    <col min="2051" max="2056" width="18.5" style="7" customWidth="1"/>
    <col min="2057" max="2282" width="9" style="7"/>
    <col min="2283" max="2283" width="4.5" style="7" customWidth="1"/>
    <col min="2284" max="2284" width="23.125" style="7" customWidth="1"/>
    <col min="2285" max="2285" width="15.125" style="7" customWidth="1"/>
    <col min="2286" max="2286" width="15" style="7" customWidth="1"/>
    <col min="2287" max="2287" width="15.125" style="7" customWidth="1"/>
    <col min="2288" max="2290" width="15" style="7" customWidth="1"/>
    <col min="2291" max="2291" width="14.25" style="7" customWidth="1"/>
    <col min="2292" max="2292" width="15" style="7" customWidth="1"/>
    <col min="2293" max="2293" width="18.5" style="7" customWidth="1"/>
    <col min="2294" max="2306" width="15" style="7" customWidth="1"/>
    <col min="2307" max="2312" width="18.5" style="7" customWidth="1"/>
    <col min="2313" max="2538" width="9" style="7"/>
    <col min="2539" max="2539" width="4.5" style="7" customWidth="1"/>
    <col min="2540" max="2540" width="23.125" style="7" customWidth="1"/>
    <col min="2541" max="2541" width="15.125" style="7" customWidth="1"/>
    <col min="2542" max="2542" width="15" style="7" customWidth="1"/>
    <col min="2543" max="2543" width="15.125" style="7" customWidth="1"/>
    <col min="2544" max="2546" width="15" style="7" customWidth="1"/>
    <col min="2547" max="2547" width="14.25" style="7" customWidth="1"/>
    <col min="2548" max="2548" width="15" style="7" customWidth="1"/>
    <col min="2549" max="2549" width="18.5" style="7" customWidth="1"/>
    <col min="2550" max="2562" width="15" style="7" customWidth="1"/>
    <col min="2563" max="2568" width="18.5" style="7" customWidth="1"/>
    <col min="2569" max="2794" width="9" style="7"/>
    <col min="2795" max="2795" width="4.5" style="7" customWidth="1"/>
    <col min="2796" max="2796" width="23.125" style="7" customWidth="1"/>
    <col min="2797" max="2797" width="15.125" style="7" customWidth="1"/>
    <col min="2798" max="2798" width="15" style="7" customWidth="1"/>
    <col min="2799" max="2799" width="15.125" style="7" customWidth="1"/>
    <col min="2800" max="2802" width="15" style="7" customWidth="1"/>
    <col min="2803" max="2803" width="14.25" style="7" customWidth="1"/>
    <col min="2804" max="2804" width="15" style="7" customWidth="1"/>
    <col min="2805" max="2805" width="18.5" style="7" customWidth="1"/>
    <col min="2806" max="2818" width="15" style="7" customWidth="1"/>
    <col min="2819" max="2824" width="18.5" style="7" customWidth="1"/>
    <col min="2825" max="3050" width="9" style="7"/>
    <col min="3051" max="3051" width="4.5" style="7" customWidth="1"/>
    <col min="3052" max="3052" width="23.125" style="7" customWidth="1"/>
    <col min="3053" max="3053" width="15.125" style="7" customWidth="1"/>
    <col min="3054" max="3054" width="15" style="7" customWidth="1"/>
    <col min="3055" max="3055" width="15.125" style="7" customWidth="1"/>
    <col min="3056" max="3058" width="15" style="7" customWidth="1"/>
    <col min="3059" max="3059" width="14.25" style="7" customWidth="1"/>
    <col min="3060" max="3060" width="15" style="7" customWidth="1"/>
    <col min="3061" max="3061" width="18.5" style="7" customWidth="1"/>
    <col min="3062" max="3074" width="15" style="7" customWidth="1"/>
    <col min="3075" max="3080" width="18.5" style="7" customWidth="1"/>
    <col min="3081" max="3306" width="9" style="7"/>
    <col min="3307" max="3307" width="4.5" style="7" customWidth="1"/>
    <col min="3308" max="3308" width="23.125" style="7" customWidth="1"/>
    <col min="3309" max="3309" width="15.125" style="7" customWidth="1"/>
    <col min="3310" max="3310" width="15" style="7" customWidth="1"/>
    <col min="3311" max="3311" width="15.125" style="7" customWidth="1"/>
    <col min="3312" max="3314" width="15" style="7" customWidth="1"/>
    <col min="3315" max="3315" width="14.25" style="7" customWidth="1"/>
    <col min="3316" max="3316" width="15" style="7" customWidth="1"/>
    <col min="3317" max="3317" width="18.5" style="7" customWidth="1"/>
    <col min="3318" max="3330" width="15" style="7" customWidth="1"/>
    <col min="3331" max="3336" width="18.5" style="7" customWidth="1"/>
    <col min="3337" max="3562" width="9" style="7"/>
    <col min="3563" max="3563" width="4.5" style="7" customWidth="1"/>
    <col min="3564" max="3564" width="23.125" style="7" customWidth="1"/>
    <col min="3565" max="3565" width="15.125" style="7" customWidth="1"/>
    <col min="3566" max="3566" width="15" style="7" customWidth="1"/>
    <col min="3567" max="3567" width="15.125" style="7" customWidth="1"/>
    <col min="3568" max="3570" width="15" style="7" customWidth="1"/>
    <col min="3571" max="3571" width="14.25" style="7" customWidth="1"/>
    <col min="3572" max="3572" width="15" style="7" customWidth="1"/>
    <col min="3573" max="3573" width="18.5" style="7" customWidth="1"/>
    <col min="3574" max="3586" width="15" style="7" customWidth="1"/>
    <col min="3587" max="3592" width="18.5" style="7" customWidth="1"/>
    <col min="3593" max="3818" width="9" style="7"/>
    <col min="3819" max="3819" width="4.5" style="7" customWidth="1"/>
    <col min="3820" max="3820" width="23.125" style="7" customWidth="1"/>
    <col min="3821" max="3821" width="15.125" style="7" customWidth="1"/>
    <col min="3822" max="3822" width="15" style="7" customWidth="1"/>
    <col min="3823" max="3823" width="15.125" style="7" customWidth="1"/>
    <col min="3824" max="3826" width="15" style="7" customWidth="1"/>
    <col min="3827" max="3827" width="14.25" style="7" customWidth="1"/>
    <col min="3828" max="3828" width="15" style="7" customWidth="1"/>
    <col min="3829" max="3829" width="18.5" style="7" customWidth="1"/>
    <col min="3830" max="3842" width="15" style="7" customWidth="1"/>
    <col min="3843" max="3848" width="18.5" style="7" customWidth="1"/>
    <col min="3849" max="4074" width="9" style="7"/>
    <col min="4075" max="4075" width="4.5" style="7" customWidth="1"/>
    <col min="4076" max="4076" width="23.125" style="7" customWidth="1"/>
    <col min="4077" max="4077" width="15.125" style="7" customWidth="1"/>
    <col min="4078" max="4078" width="15" style="7" customWidth="1"/>
    <col min="4079" max="4079" width="15.125" style="7" customWidth="1"/>
    <col min="4080" max="4082" width="15" style="7" customWidth="1"/>
    <col min="4083" max="4083" width="14.25" style="7" customWidth="1"/>
    <col min="4084" max="4084" width="15" style="7" customWidth="1"/>
    <col min="4085" max="4085" width="18.5" style="7" customWidth="1"/>
    <col min="4086" max="4098" width="15" style="7" customWidth="1"/>
    <col min="4099" max="4104" width="18.5" style="7" customWidth="1"/>
    <col min="4105" max="4330" width="9" style="7"/>
    <col min="4331" max="4331" width="4.5" style="7" customWidth="1"/>
    <col min="4332" max="4332" width="23.125" style="7" customWidth="1"/>
    <col min="4333" max="4333" width="15.125" style="7" customWidth="1"/>
    <col min="4334" max="4334" width="15" style="7" customWidth="1"/>
    <col min="4335" max="4335" width="15.125" style="7" customWidth="1"/>
    <col min="4336" max="4338" width="15" style="7" customWidth="1"/>
    <col min="4339" max="4339" width="14.25" style="7" customWidth="1"/>
    <col min="4340" max="4340" width="15" style="7" customWidth="1"/>
    <col min="4341" max="4341" width="18.5" style="7" customWidth="1"/>
    <col min="4342" max="4354" width="15" style="7" customWidth="1"/>
    <col min="4355" max="4360" width="18.5" style="7" customWidth="1"/>
    <col min="4361" max="4586" width="9" style="7"/>
    <col min="4587" max="4587" width="4.5" style="7" customWidth="1"/>
    <col min="4588" max="4588" width="23.125" style="7" customWidth="1"/>
    <col min="4589" max="4589" width="15.125" style="7" customWidth="1"/>
    <col min="4590" max="4590" width="15" style="7" customWidth="1"/>
    <col min="4591" max="4591" width="15.125" style="7" customWidth="1"/>
    <col min="4592" max="4594" width="15" style="7" customWidth="1"/>
    <col min="4595" max="4595" width="14.25" style="7" customWidth="1"/>
    <col min="4596" max="4596" width="15" style="7" customWidth="1"/>
    <col min="4597" max="4597" width="18.5" style="7" customWidth="1"/>
    <col min="4598" max="4610" width="15" style="7" customWidth="1"/>
    <col min="4611" max="4616" width="18.5" style="7" customWidth="1"/>
    <col min="4617" max="4842" width="9" style="7"/>
    <col min="4843" max="4843" width="4.5" style="7" customWidth="1"/>
    <col min="4844" max="4844" width="23.125" style="7" customWidth="1"/>
    <col min="4845" max="4845" width="15.125" style="7" customWidth="1"/>
    <col min="4846" max="4846" width="15" style="7" customWidth="1"/>
    <col min="4847" max="4847" width="15.125" style="7" customWidth="1"/>
    <col min="4848" max="4850" width="15" style="7" customWidth="1"/>
    <col min="4851" max="4851" width="14.25" style="7" customWidth="1"/>
    <col min="4852" max="4852" width="15" style="7" customWidth="1"/>
    <col min="4853" max="4853" width="18.5" style="7" customWidth="1"/>
    <col min="4854" max="4866" width="15" style="7" customWidth="1"/>
    <col min="4867" max="4872" width="18.5" style="7" customWidth="1"/>
    <col min="4873" max="5098" width="9" style="7"/>
    <col min="5099" max="5099" width="4.5" style="7" customWidth="1"/>
    <col min="5100" max="5100" width="23.125" style="7" customWidth="1"/>
    <col min="5101" max="5101" width="15.125" style="7" customWidth="1"/>
    <col min="5102" max="5102" width="15" style="7" customWidth="1"/>
    <col min="5103" max="5103" width="15.125" style="7" customWidth="1"/>
    <col min="5104" max="5106" width="15" style="7" customWidth="1"/>
    <col min="5107" max="5107" width="14.25" style="7" customWidth="1"/>
    <col min="5108" max="5108" width="15" style="7" customWidth="1"/>
    <col min="5109" max="5109" width="18.5" style="7" customWidth="1"/>
    <col min="5110" max="5122" width="15" style="7" customWidth="1"/>
    <col min="5123" max="5128" width="18.5" style="7" customWidth="1"/>
    <col min="5129" max="5354" width="9" style="7"/>
    <col min="5355" max="5355" width="4.5" style="7" customWidth="1"/>
    <col min="5356" max="5356" width="23.125" style="7" customWidth="1"/>
    <col min="5357" max="5357" width="15.125" style="7" customWidth="1"/>
    <col min="5358" max="5358" width="15" style="7" customWidth="1"/>
    <col min="5359" max="5359" width="15.125" style="7" customWidth="1"/>
    <col min="5360" max="5362" width="15" style="7" customWidth="1"/>
    <col min="5363" max="5363" width="14.25" style="7" customWidth="1"/>
    <col min="5364" max="5364" width="15" style="7" customWidth="1"/>
    <col min="5365" max="5365" width="18.5" style="7" customWidth="1"/>
    <col min="5366" max="5378" width="15" style="7" customWidth="1"/>
    <col min="5379" max="5384" width="18.5" style="7" customWidth="1"/>
    <col min="5385" max="5610" width="9" style="7"/>
    <col min="5611" max="5611" width="4.5" style="7" customWidth="1"/>
    <col min="5612" max="5612" width="23.125" style="7" customWidth="1"/>
    <col min="5613" max="5613" width="15.125" style="7" customWidth="1"/>
    <col min="5614" max="5614" width="15" style="7" customWidth="1"/>
    <col min="5615" max="5615" width="15.125" style="7" customWidth="1"/>
    <col min="5616" max="5618" width="15" style="7" customWidth="1"/>
    <col min="5619" max="5619" width="14.25" style="7" customWidth="1"/>
    <col min="5620" max="5620" width="15" style="7" customWidth="1"/>
    <col min="5621" max="5621" width="18.5" style="7" customWidth="1"/>
    <col min="5622" max="5634" width="15" style="7" customWidth="1"/>
    <col min="5635" max="5640" width="18.5" style="7" customWidth="1"/>
    <col min="5641" max="5866" width="9" style="7"/>
    <col min="5867" max="5867" width="4.5" style="7" customWidth="1"/>
    <col min="5868" max="5868" width="23.125" style="7" customWidth="1"/>
    <col min="5869" max="5869" width="15.125" style="7" customWidth="1"/>
    <col min="5870" max="5870" width="15" style="7" customWidth="1"/>
    <col min="5871" max="5871" width="15.125" style="7" customWidth="1"/>
    <col min="5872" max="5874" width="15" style="7" customWidth="1"/>
    <col min="5875" max="5875" width="14.25" style="7" customWidth="1"/>
    <col min="5876" max="5876" width="15" style="7" customWidth="1"/>
    <col min="5877" max="5877" width="18.5" style="7" customWidth="1"/>
    <col min="5878" max="5890" width="15" style="7" customWidth="1"/>
    <col min="5891" max="5896" width="18.5" style="7" customWidth="1"/>
    <col min="5897" max="6122" width="9" style="7"/>
    <col min="6123" max="6123" width="4.5" style="7" customWidth="1"/>
    <col min="6124" max="6124" width="23.125" style="7" customWidth="1"/>
    <col min="6125" max="6125" width="15.125" style="7" customWidth="1"/>
    <col min="6126" max="6126" width="15" style="7" customWidth="1"/>
    <col min="6127" max="6127" width="15.125" style="7" customWidth="1"/>
    <col min="6128" max="6130" width="15" style="7" customWidth="1"/>
    <col min="6131" max="6131" width="14.25" style="7" customWidth="1"/>
    <col min="6132" max="6132" width="15" style="7" customWidth="1"/>
    <col min="6133" max="6133" width="18.5" style="7" customWidth="1"/>
    <col min="6134" max="6146" width="15" style="7" customWidth="1"/>
    <col min="6147" max="6152" width="18.5" style="7" customWidth="1"/>
    <col min="6153" max="6378" width="9" style="7"/>
    <col min="6379" max="6379" width="4.5" style="7" customWidth="1"/>
    <col min="6380" max="6380" width="23.125" style="7" customWidth="1"/>
    <col min="6381" max="6381" width="15.125" style="7" customWidth="1"/>
    <col min="6382" max="6382" width="15" style="7" customWidth="1"/>
    <col min="6383" max="6383" width="15.125" style="7" customWidth="1"/>
    <col min="6384" max="6386" width="15" style="7" customWidth="1"/>
    <col min="6387" max="6387" width="14.25" style="7" customWidth="1"/>
    <col min="6388" max="6388" width="15" style="7" customWidth="1"/>
    <col min="6389" max="6389" width="18.5" style="7" customWidth="1"/>
    <col min="6390" max="6402" width="15" style="7" customWidth="1"/>
    <col min="6403" max="6408" width="18.5" style="7" customWidth="1"/>
    <col min="6409" max="6634" width="9" style="7"/>
    <col min="6635" max="6635" width="4.5" style="7" customWidth="1"/>
    <col min="6636" max="6636" width="23.125" style="7" customWidth="1"/>
    <col min="6637" max="6637" width="15.125" style="7" customWidth="1"/>
    <col min="6638" max="6638" width="15" style="7" customWidth="1"/>
    <col min="6639" max="6639" width="15.125" style="7" customWidth="1"/>
    <col min="6640" max="6642" width="15" style="7" customWidth="1"/>
    <col min="6643" max="6643" width="14.25" style="7" customWidth="1"/>
    <col min="6644" max="6644" width="15" style="7" customWidth="1"/>
    <col min="6645" max="6645" width="18.5" style="7" customWidth="1"/>
    <col min="6646" max="6658" width="15" style="7" customWidth="1"/>
    <col min="6659" max="6664" width="18.5" style="7" customWidth="1"/>
    <col min="6665" max="6890" width="9" style="7"/>
    <col min="6891" max="6891" width="4.5" style="7" customWidth="1"/>
    <col min="6892" max="6892" width="23.125" style="7" customWidth="1"/>
    <col min="6893" max="6893" width="15.125" style="7" customWidth="1"/>
    <col min="6894" max="6894" width="15" style="7" customWidth="1"/>
    <col min="6895" max="6895" width="15.125" style="7" customWidth="1"/>
    <col min="6896" max="6898" width="15" style="7" customWidth="1"/>
    <col min="6899" max="6899" width="14.25" style="7" customWidth="1"/>
    <col min="6900" max="6900" width="15" style="7" customWidth="1"/>
    <col min="6901" max="6901" width="18.5" style="7" customWidth="1"/>
    <col min="6902" max="6914" width="15" style="7" customWidth="1"/>
    <col min="6915" max="6920" width="18.5" style="7" customWidth="1"/>
    <col min="6921" max="7146" width="9" style="7"/>
    <col min="7147" max="7147" width="4.5" style="7" customWidth="1"/>
    <col min="7148" max="7148" width="23.125" style="7" customWidth="1"/>
    <col min="7149" max="7149" width="15.125" style="7" customWidth="1"/>
    <col min="7150" max="7150" width="15" style="7" customWidth="1"/>
    <col min="7151" max="7151" width="15.125" style="7" customWidth="1"/>
    <col min="7152" max="7154" width="15" style="7" customWidth="1"/>
    <col min="7155" max="7155" width="14.25" style="7" customWidth="1"/>
    <col min="7156" max="7156" width="15" style="7" customWidth="1"/>
    <col min="7157" max="7157" width="18.5" style="7" customWidth="1"/>
    <col min="7158" max="7170" width="15" style="7" customWidth="1"/>
    <col min="7171" max="7176" width="18.5" style="7" customWidth="1"/>
    <col min="7177" max="7402" width="9" style="7"/>
    <col min="7403" max="7403" width="4.5" style="7" customWidth="1"/>
    <col min="7404" max="7404" width="23.125" style="7" customWidth="1"/>
    <col min="7405" max="7405" width="15.125" style="7" customWidth="1"/>
    <col min="7406" max="7406" width="15" style="7" customWidth="1"/>
    <col min="7407" max="7407" width="15.125" style="7" customWidth="1"/>
    <col min="7408" max="7410" width="15" style="7" customWidth="1"/>
    <col min="7411" max="7411" width="14.25" style="7" customWidth="1"/>
    <col min="7412" max="7412" width="15" style="7" customWidth="1"/>
    <col min="7413" max="7413" width="18.5" style="7" customWidth="1"/>
    <col min="7414" max="7426" width="15" style="7" customWidth="1"/>
    <col min="7427" max="7432" width="18.5" style="7" customWidth="1"/>
    <col min="7433" max="7658" width="9" style="7"/>
    <col min="7659" max="7659" width="4.5" style="7" customWidth="1"/>
    <col min="7660" max="7660" width="23.125" style="7" customWidth="1"/>
    <col min="7661" max="7661" width="15.125" style="7" customWidth="1"/>
    <col min="7662" max="7662" width="15" style="7" customWidth="1"/>
    <col min="7663" max="7663" width="15.125" style="7" customWidth="1"/>
    <col min="7664" max="7666" width="15" style="7" customWidth="1"/>
    <col min="7667" max="7667" width="14.25" style="7" customWidth="1"/>
    <col min="7668" max="7668" width="15" style="7" customWidth="1"/>
    <col min="7669" max="7669" width="18.5" style="7" customWidth="1"/>
    <col min="7670" max="7682" width="15" style="7" customWidth="1"/>
    <col min="7683" max="7688" width="18.5" style="7" customWidth="1"/>
    <col min="7689" max="7914" width="9" style="7"/>
    <col min="7915" max="7915" width="4.5" style="7" customWidth="1"/>
    <col min="7916" max="7916" width="23.125" style="7" customWidth="1"/>
    <col min="7917" max="7917" width="15.125" style="7" customWidth="1"/>
    <col min="7918" max="7918" width="15" style="7" customWidth="1"/>
    <col min="7919" max="7919" width="15.125" style="7" customWidth="1"/>
    <col min="7920" max="7922" width="15" style="7" customWidth="1"/>
    <col min="7923" max="7923" width="14.25" style="7" customWidth="1"/>
    <col min="7924" max="7924" width="15" style="7" customWidth="1"/>
    <col min="7925" max="7925" width="18.5" style="7" customWidth="1"/>
    <col min="7926" max="7938" width="15" style="7" customWidth="1"/>
    <col min="7939" max="7944" width="18.5" style="7" customWidth="1"/>
    <col min="7945" max="8170" width="9" style="7"/>
    <col min="8171" max="8171" width="4.5" style="7" customWidth="1"/>
    <col min="8172" max="8172" width="23.125" style="7" customWidth="1"/>
    <col min="8173" max="8173" width="15.125" style="7" customWidth="1"/>
    <col min="8174" max="8174" width="15" style="7" customWidth="1"/>
    <col min="8175" max="8175" width="15.125" style="7" customWidth="1"/>
    <col min="8176" max="8178" width="15" style="7" customWidth="1"/>
    <col min="8179" max="8179" width="14.25" style="7" customWidth="1"/>
    <col min="8180" max="8180" width="15" style="7" customWidth="1"/>
    <col min="8181" max="8181" width="18.5" style="7" customWidth="1"/>
    <col min="8182" max="8194" width="15" style="7" customWidth="1"/>
    <col min="8195" max="8200" width="18.5" style="7" customWidth="1"/>
    <col min="8201" max="8426" width="9" style="7"/>
    <col min="8427" max="8427" width="4.5" style="7" customWidth="1"/>
    <col min="8428" max="8428" width="23.125" style="7" customWidth="1"/>
    <col min="8429" max="8429" width="15.125" style="7" customWidth="1"/>
    <col min="8430" max="8430" width="15" style="7" customWidth="1"/>
    <col min="8431" max="8431" width="15.125" style="7" customWidth="1"/>
    <col min="8432" max="8434" width="15" style="7" customWidth="1"/>
    <col min="8435" max="8435" width="14.25" style="7" customWidth="1"/>
    <col min="8436" max="8436" width="15" style="7" customWidth="1"/>
    <col min="8437" max="8437" width="18.5" style="7" customWidth="1"/>
    <col min="8438" max="8450" width="15" style="7" customWidth="1"/>
    <col min="8451" max="8456" width="18.5" style="7" customWidth="1"/>
    <col min="8457" max="8682" width="9" style="7"/>
    <col min="8683" max="8683" width="4.5" style="7" customWidth="1"/>
    <col min="8684" max="8684" width="23.125" style="7" customWidth="1"/>
    <col min="8685" max="8685" width="15.125" style="7" customWidth="1"/>
    <col min="8686" max="8686" width="15" style="7" customWidth="1"/>
    <col min="8687" max="8687" width="15.125" style="7" customWidth="1"/>
    <col min="8688" max="8690" width="15" style="7" customWidth="1"/>
    <col min="8691" max="8691" width="14.25" style="7" customWidth="1"/>
    <col min="8692" max="8692" width="15" style="7" customWidth="1"/>
    <col min="8693" max="8693" width="18.5" style="7" customWidth="1"/>
    <col min="8694" max="8706" width="15" style="7" customWidth="1"/>
    <col min="8707" max="8712" width="18.5" style="7" customWidth="1"/>
    <col min="8713" max="8938" width="9" style="7"/>
    <col min="8939" max="8939" width="4.5" style="7" customWidth="1"/>
    <col min="8940" max="8940" width="23.125" style="7" customWidth="1"/>
    <col min="8941" max="8941" width="15.125" style="7" customWidth="1"/>
    <col min="8942" max="8942" width="15" style="7" customWidth="1"/>
    <col min="8943" max="8943" width="15.125" style="7" customWidth="1"/>
    <col min="8944" max="8946" width="15" style="7" customWidth="1"/>
    <col min="8947" max="8947" width="14.25" style="7" customWidth="1"/>
    <col min="8948" max="8948" width="15" style="7" customWidth="1"/>
    <col min="8949" max="8949" width="18.5" style="7" customWidth="1"/>
    <col min="8950" max="8962" width="15" style="7" customWidth="1"/>
    <col min="8963" max="8968" width="18.5" style="7" customWidth="1"/>
    <col min="8969" max="9194" width="9" style="7"/>
    <col min="9195" max="9195" width="4.5" style="7" customWidth="1"/>
    <col min="9196" max="9196" width="23.125" style="7" customWidth="1"/>
    <col min="9197" max="9197" width="15.125" style="7" customWidth="1"/>
    <col min="9198" max="9198" width="15" style="7" customWidth="1"/>
    <col min="9199" max="9199" width="15.125" style="7" customWidth="1"/>
    <col min="9200" max="9202" width="15" style="7" customWidth="1"/>
    <col min="9203" max="9203" width="14.25" style="7" customWidth="1"/>
    <col min="9204" max="9204" width="15" style="7" customWidth="1"/>
    <col min="9205" max="9205" width="18.5" style="7" customWidth="1"/>
    <col min="9206" max="9218" width="15" style="7" customWidth="1"/>
    <col min="9219" max="9224" width="18.5" style="7" customWidth="1"/>
    <col min="9225" max="9450" width="9" style="7"/>
    <col min="9451" max="9451" width="4.5" style="7" customWidth="1"/>
    <col min="9452" max="9452" width="23.125" style="7" customWidth="1"/>
    <col min="9453" max="9453" width="15.125" style="7" customWidth="1"/>
    <col min="9454" max="9454" width="15" style="7" customWidth="1"/>
    <col min="9455" max="9455" width="15.125" style="7" customWidth="1"/>
    <col min="9456" max="9458" width="15" style="7" customWidth="1"/>
    <col min="9459" max="9459" width="14.25" style="7" customWidth="1"/>
    <col min="9460" max="9460" width="15" style="7" customWidth="1"/>
    <col min="9461" max="9461" width="18.5" style="7" customWidth="1"/>
    <col min="9462" max="9474" width="15" style="7" customWidth="1"/>
    <col min="9475" max="9480" width="18.5" style="7" customWidth="1"/>
    <col min="9481" max="9706" width="9" style="7"/>
    <col min="9707" max="9707" width="4.5" style="7" customWidth="1"/>
    <col min="9708" max="9708" width="23.125" style="7" customWidth="1"/>
    <col min="9709" max="9709" width="15.125" style="7" customWidth="1"/>
    <col min="9710" max="9710" width="15" style="7" customWidth="1"/>
    <col min="9711" max="9711" width="15.125" style="7" customWidth="1"/>
    <col min="9712" max="9714" width="15" style="7" customWidth="1"/>
    <col min="9715" max="9715" width="14.25" style="7" customWidth="1"/>
    <col min="9716" max="9716" width="15" style="7" customWidth="1"/>
    <col min="9717" max="9717" width="18.5" style="7" customWidth="1"/>
    <col min="9718" max="9730" width="15" style="7" customWidth="1"/>
    <col min="9731" max="9736" width="18.5" style="7" customWidth="1"/>
    <col min="9737" max="9962" width="9" style="7"/>
    <col min="9963" max="9963" width="4.5" style="7" customWidth="1"/>
    <col min="9964" max="9964" width="23.125" style="7" customWidth="1"/>
    <col min="9965" max="9965" width="15.125" style="7" customWidth="1"/>
    <col min="9966" max="9966" width="15" style="7" customWidth="1"/>
    <col min="9967" max="9967" width="15.125" style="7" customWidth="1"/>
    <col min="9968" max="9970" width="15" style="7" customWidth="1"/>
    <col min="9971" max="9971" width="14.25" style="7" customWidth="1"/>
    <col min="9972" max="9972" width="15" style="7" customWidth="1"/>
    <col min="9973" max="9973" width="18.5" style="7" customWidth="1"/>
    <col min="9974" max="9986" width="15" style="7" customWidth="1"/>
    <col min="9987" max="9992" width="18.5" style="7" customWidth="1"/>
    <col min="9993" max="10218" width="9" style="7"/>
    <col min="10219" max="10219" width="4.5" style="7" customWidth="1"/>
    <col min="10220" max="10220" width="23.125" style="7" customWidth="1"/>
    <col min="10221" max="10221" width="15.125" style="7" customWidth="1"/>
    <col min="10222" max="10222" width="15" style="7" customWidth="1"/>
    <col min="10223" max="10223" width="15.125" style="7" customWidth="1"/>
    <col min="10224" max="10226" width="15" style="7" customWidth="1"/>
    <col min="10227" max="10227" width="14.25" style="7" customWidth="1"/>
    <col min="10228" max="10228" width="15" style="7" customWidth="1"/>
    <col min="10229" max="10229" width="18.5" style="7" customWidth="1"/>
    <col min="10230" max="10242" width="15" style="7" customWidth="1"/>
    <col min="10243" max="10248" width="18.5" style="7" customWidth="1"/>
    <col min="10249" max="10474" width="9" style="7"/>
    <col min="10475" max="10475" width="4.5" style="7" customWidth="1"/>
    <col min="10476" max="10476" width="23.125" style="7" customWidth="1"/>
    <col min="10477" max="10477" width="15.125" style="7" customWidth="1"/>
    <col min="10478" max="10478" width="15" style="7" customWidth="1"/>
    <col min="10479" max="10479" width="15.125" style="7" customWidth="1"/>
    <col min="10480" max="10482" width="15" style="7" customWidth="1"/>
    <col min="10483" max="10483" width="14.25" style="7" customWidth="1"/>
    <col min="10484" max="10484" width="15" style="7" customWidth="1"/>
    <col min="10485" max="10485" width="18.5" style="7" customWidth="1"/>
    <col min="10486" max="10498" width="15" style="7" customWidth="1"/>
    <col min="10499" max="10504" width="18.5" style="7" customWidth="1"/>
    <col min="10505" max="10730" width="9" style="7"/>
    <col min="10731" max="10731" width="4.5" style="7" customWidth="1"/>
    <col min="10732" max="10732" width="23.125" style="7" customWidth="1"/>
    <col min="10733" max="10733" width="15.125" style="7" customWidth="1"/>
    <col min="10734" max="10734" width="15" style="7" customWidth="1"/>
    <col min="10735" max="10735" width="15.125" style="7" customWidth="1"/>
    <col min="10736" max="10738" width="15" style="7" customWidth="1"/>
    <col min="10739" max="10739" width="14.25" style="7" customWidth="1"/>
    <col min="10740" max="10740" width="15" style="7" customWidth="1"/>
    <col min="10741" max="10741" width="18.5" style="7" customWidth="1"/>
    <col min="10742" max="10754" width="15" style="7" customWidth="1"/>
    <col min="10755" max="10760" width="18.5" style="7" customWidth="1"/>
    <col min="10761" max="10986" width="9" style="7"/>
    <col min="10987" max="10987" width="4.5" style="7" customWidth="1"/>
    <col min="10988" max="10988" width="23.125" style="7" customWidth="1"/>
    <col min="10989" max="10989" width="15.125" style="7" customWidth="1"/>
    <col min="10990" max="10990" width="15" style="7" customWidth="1"/>
    <col min="10991" max="10991" width="15.125" style="7" customWidth="1"/>
    <col min="10992" max="10994" width="15" style="7" customWidth="1"/>
    <col min="10995" max="10995" width="14.25" style="7" customWidth="1"/>
    <col min="10996" max="10996" width="15" style="7" customWidth="1"/>
    <col min="10997" max="10997" width="18.5" style="7" customWidth="1"/>
    <col min="10998" max="11010" width="15" style="7" customWidth="1"/>
    <col min="11011" max="11016" width="18.5" style="7" customWidth="1"/>
    <col min="11017" max="11242" width="9" style="7"/>
    <col min="11243" max="11243" width="4.5" style="7" customWidth="1"/>
    <col min="11244" max="11244" width="23.125" style="7" customWidth="1"/>
    <col min="11245" max="11245" width="15.125" style="7" customWidth="1"/>
    <col min="11246" max="11246" width="15" style="7" customWidth="1"/>
    <col min="11247" max="11247" width="15.125" style="7" customWidth="1"/>
    <col min="11248" max="11250" width="15" style="7" customWidth="1"/>
    <col min="11251" max="11251" width="14.25" style="7" customWidth="1"/>
    <col min="11252" max="11252" width="15" style="7" customWidth="1"/>
    <col min="11253" max="11253" width="18.5" style="7" customWidth="1"/>
    <col min="11254" max="11266" width="15" style="7" customWidth="1"/>
    <col min="11267" max="11272" width="18.5" style="7" customWidth="1"/>
    <col min="11273" max="11498" width="9" style="7"/>
    <col min="11499" max="11499" width="4.5" style="7" customWidth="1"/>
    <col min="11500" max="11500" width="23.125" style="7" customWidth="1"/>
    <col min="11501" max="11501" width="15.125" style="7" customWidth="1"/>
    <col min="11502" max="11502" width="15" style="7" customWidth="1"/>
    <col min="11503" max="11503" width="15.125" style="7" customWidth="1"/>
    <col min="11504" max="11506" width="15" style="7" customWidth="1"/>
    <col min="11507" max="11507" width="14.25" style="7" customWidth="1"/>
    <col min="11508" max="11508" width="15" style="7" customWidth="1"/>
    <col min="11509" max="11509" width="18.5" style="7" customWidth="1"/>
    <col min="11510" max="11522" width="15" style="7" customWidth="1"/>
    <col min="11523" max="11528" width="18.5" style="7" customWidth="1"/>
    <col min="11529" max="11754" width="9" style="7"/>
    <col min="11755" max="11755" width="4.5" style="7" customWidth="1"/>
    <col min="11756" max="11756" width="23.125" style="7" customWidth="1"/>
    <col min="11757" max="11757" width="15.125" style="7" customWidth="1"/>
    <col min="11758" max="11758" width="15" style="7" customWidth="1"/>
    <col min="11759" max="11759" width="15.125" style="7" customWidth="1"/>
    <col min="11760" max="11762" width="15" style="7" customWidth="1"/>
    <col min="11763" max="11763" width="14.25" style="7" customWidth="1"/>
    <col min="11764" max="11764" width="15" style="7" customWidth="1"/>
    <col min="11765" max="11765" width="18.5" style="7" customWidth="1"/>
    <col min="11766" max="11778" width="15" style="7" customWidth="1"/>
    <col min="11779" max="11784" width="18.5" style="7" customWidth="1"/>
    <col min="11785" max="12010" width="9" style="7"/>
    <col min="12011" max="12011" width="4.5" style="7" customWidth="1"/>
    <col min="12012" max="12012" width="23.125" style="7" customWidth="1"/>
    <col min="12013" max="12013" width="15.125" style="7" customWidth="1"/>
    <col min="12014" max="12014" width="15" style="7" customWidth="1"/>
    <col min="12015" max="12015" width="15.125" style="7" customWidth="1"/>
    <col min="12016" max="12018" width="15" style="7" customWidth="1"/>
    <col min="12019" max="12019" width="14.25" style="7" customWidth="1"/>
    <col min="12020" max="12020" width="15" style="7" customWidth="1"/>
    <col min="12021" max="12021" width="18.5" style="7" customWidth="1"/>
    <col min="12022" max="12034" width="15" style="7" customWidth="1"/>
    <col min="12035" max="12040" width="18.5" style="7" customWidth="1"/>
    <col min="12041" max="12266" width="9" style="7"/>
    <col min="12267" max="12267" width="4.5" style="7" customWidth="1"/>
    <col min="12268" max="12268" width="23.125" style="7" customWidth="1"/>
    <col min="12269" max="12269" width="15.125" style="7" customWidth="1"/>
    <col min="12270" max="12270" width="15" style="7" customWidth="1"/>
    <col min="12271" max="12271" width="15.125" style="7" customWidth="1"/>
    <col min="12272" max="12274" width="15" style="7" customWidth="1"/>
    <col min="12275" max="12275" width="14.25" style="7" customWidth="1"/>
    <col min="12276" max="12276" width="15" style="7" customWidth="1"/>
    <col min="12277" max="12277" width="18.5" style="7" customWidth="1"/>
    <col min="12278" max="12290" width="15" style="7" customWidth="1"/>
    <col min="12291" max="12296" width="18.5" style="7" customWidth="1"/>
    <col min="12297" max="12522" width="9" style="7"/>
    <col min="12523" max="12523" width="4.5" style="7" customWidth="1"/>
    <col min="12524" max="12524" width="23.125" style="7" customWidth="1"/>
    <col min="12525" max="12525" width="15.125" style="7" customWidth="1"/>
    <col min="12526" max="12526" width="15" style="7" customWidth="1"/>
    <col min="12527" max="12527" width="15.125" style="7" customWidth="1"/>
    <col min="12528" max="12530" width="15" style="7" customWidth="1"/>
    <col min="12531" max="12531" width="14.25" style="7" customWidth="1"/>
    <col min="12532" max="12532" width="15" style="7" customWidth="1"/>
    <col min="12533" max="12533" width="18.5" style="7" customWidth="1"/>
    <col min="12534" max="12546" width="15" style="7" customWidth="1"/>
    <col min="12547" max="12552" width="18.5" style="7" customWidth="1"/>
    <col min="12553" max="12778" width="9" style="7"/>
    <col min="12779" max="12779" width="4.5" style="7" customWidth="1"/>
    <col min="12780" max="12780" width="23.125" style="7" customWidth="1"/>
    <col min="12781" max="12781" width="15.125" style="7" customWidth="1"/>
    <col min="12782" max="12782" width="15" style="7" customWidth="1"/>
    <col min="12783" max="12783" width="15.125" style="7" customWidth="1"/>
    <col min="12784" max="12786" width="15" style="7" customWidth="1"/>
    <col min="12787" max="12787" width="14.25" style="7" customWidth="1"/>
    <col min="12788" max="12788" width="15" style="7" customWidth="1"/>
    <col min="12789" max="12789" width="18.5" style="7" customWidth="1"/>
    <col min="12790" max="12802" width="15" style="7" customWidth="1"/>
    <col min="12803" max="12808" width="18.5" style="7" customWidth="1"/>
    <col min="12809" max="13034" width="9" style="7"/>
    <col min="13035" max="13035" width="4.5" style="7" customWidth="1"/>
    <col min="13036" max="13036" width="23.125" style="7" customWidth="1"/>
    <col min="13037" max="13037" width="15.125" style="7" customWidth="1"/>
    <col min="13038" max="13038" width="15" style="7" customWidth="1"/>
    <col min="13039" max="13039" width="15.125" style="7" customWidth="1"/>
    <col min="13040" max="13042" width="15" style="7" customWidth="1"/>
    <col min="13043" max="13043" width="14.25" style="7" customWidth="1"/>
    <col min="13044" max="13044" width="15" style="7" customWidth="1"/>
    <col min="13045" max="13045" width="18.5" style="7" customWidth="1"/>
    <col min="13046" max="13058" width="15" style="7" customWidth="1"/>
    <col min="13059" max="13064" width="18.5" style="7" customWidth="1"/>
    <col min="13065" max="13290" width="9" style="7"/>
    <col min="13291" max="13291" width="4.5" style="7" customWidth="1"/>
    <col min="13292" max="13292" width="23.125" style="7" customWidth="1"/>
    <col min="13293" max="13293" width="15.125" style="7" customWidth="1"/>
    <col min="13294" max="13294" width="15" style="7" customWidth="1"/>
    <col min="13295" max="13295" width="15.125" style="7" customWidth="1"/>
    <col min="13296" max="13298" width="15" style="7" customWidth="1"/>
    <col min="13299" max="13299" width="14.25" style="7" customWidth="1"/>
    <col min="13300" max="13300" width="15" style="7" customWidth="1"/>
    <col min="13301" max="13301" width="18.5" style="7" customWidth="1"/>
    <col min="13302" max="13314" width="15" style="7" customWidth="1"/>
    <col min="13315" max="13320" width="18.5" style="7" customWidth="1"/>
    <col min="13321" max="13546" width="9" style="7"/>
    <col min="13547" max="13547" width="4.5" style="7" customWidth="1"/>
    <col min="13548" max="13548" width="23.125" style="7" customWidth="1"/>
    <col min="13549" max="13549" width="15.125" style="7" customWidth="1"/>
    <col min="13550" max="13550" width="15" style="7" customWidth="1"/>
    <col min="13551" max="13551" width="15.125" style="7" customWidth="1"/>
    <col min="13552" max="13554" width="15" style="7" customWidth="1"/>
    <col min="13555" max="13555" width="14.25" style="7" customWidth="1"/>
    <col min="13556" max="13556" width="15" style="7" customWidth="1"/>
    <col min="13557" max="13557" width="18.5" style="7" customWidth="1"/>
    <col min="13558" max="13570" width="15" style="7" customWidth="1"/>
    <col min="13571" max="13576" width="18.5" style="7" customWidth="1"/>
    <col min="13577" max="13802" width="9" style="7"/>
    <col min="13803" max="13803" width="4.5" style="7" customWidth="1"/>
    <col min="13804" max="13804" width="23.125" style="7" customWidth="1"/>
    <col min="13805" max="13805" width="15.125" style="7" customWidth="1"/>
    <col min="13806" max="13806" width="15" style="7" customWidth="1"/>
    <col min="13807" max="13807" width="15.125" style="7" customWidth="1"/>
    <col min="13808" max="13810" width="15" style="7" customWidth="1"/>
    <col min="13811" max="13811" width="14.25" style="7" customWidth="1"/>
    <col min="13812" max="13812" width="15" style="7" customWidth="1"/>
    <col min="13813" max="13813" width="18.5" style="7" customWidth="1"/>
    <col min="13814" max="13826" width="15" style="7" customWidth="1"/>
    <col min="13827" max="13832" width="18.5" style="7" customWidth="1"/>
    <col min="13833" max="14058" width="9" style="7"/>
    <col min="14059" max="14059" width="4.5" style="7" customWidth="1"/>
    <col min="14060" max="14060" width="23.125" style="7" customWidth="1"/>
    <col min="14061" max="14061" width="15.125" style="7" customWidth="1"/>
    <col min="14062" max="14062" width="15" style="7" customWidth="1"/>
    <col min="14063" max="14063" width="15.125" style="7" customWidth="1"/>
    <col min="14064" max="14066" width="15" style="7" customWidth="1"/>
    <col min="14067" max="14067" width="14.25" style="7" customWidth="1"/>
    <col min="14068" max="14068" width="15" style="7" customWidth="1"/>
    <col min="14069" max="14069" width="18.5" style="7" customWidth="1"/>
    <col min="14070" max="14082" width="15" style="7" customWidth="1"/>
    <col min="14083" max="14088" width="18.5" style="7" customWidth="1"/>
    <col min="14089" max="14314" width="9" style="7"/>
    <col min="14315" max="14315" width="4.5" style="7" customWidth="1"/>
    <col min="14316" max="14316" width="23.125" style="7" customWidth="1"/>
    <col min="14317" max="14317" width="15.125" style="7" customWidth="1"/>
    <col min="14318" max="14318" width="15" style="7" customWidth="1"/>
    <col min="14319" max="14319" width="15.125" style="7" customWidth="1"/>
    <col min="14320" max="14322" width="15" style="7" customWidth="1"/>
    <col min="14323" max="14323" width="14.25" style="7" customWidth="1"/>
    <col min="14324" max="14324" width="15" style="7" customWidth="1"/>
    <col min="14325" max="14325" width="18.5" style="7" customWidth="1"/>
    <col min="14326" max="14338" width="15" style="7" customWidth="1"/>
    <col min="14339" max="14344" width="18.5" style="7" customWidth="1"/>
    <col min="14345" max="14570" width="9" style="7"/>
    <col min="14571" max="14571" width="4.5" style="7" customWidth="1"/>
    <col min="14572" max="14572" width="23.125" style="7" customWidth="1"/>
    <col min="14573" max="14573" width="15.125" style="7" customWidth="1"/>
    <col min="14574" max="14574" width="15" style="7" customWidth="1"/>
    <col min="14575" max="14575" width="15.125" style="7" customWidth="1"/>
    <col min="14576" max="14578" width="15" style="7" customWidth="1"/>
    <col min="14579" max="14579" width="14.25" style="7" customWidth="1"/>
    <col min="14580" max="14580" width="15" style="7" customWidth="1"/>
    <col min="14581" max="14581" width="18.5" style="7" customWidth="1"/>
    <col min="14582" max="14594" width="15" style="7" customWidth="1"/>
    <col min="14595" max="14600" width="18.5" style="7" customWidth="1"/>
    <col min="14601" max="14826" width="9" style="7"/>
    <col min="14827" max="14827" width="4.5" style="7" customWidth="1"/>
    <col min="14828" max="14828" width="23.125" style="7" customWidth="1"/>
    <col min="14829" max="14829" width="15.125" style="7" customWidth="1"/>
    <col min="14830" max="14830" width="15" style="7" customWidth="1"/>
    <col min="14831" max="14831" width="15.125" style="7" customWidth="1"/>
    <col min="14832" max="14834" width="15" style="7" customWidth="1"/>
    <col min="14835" max="14835" width="14.25" style="7" customWidth="1"/>
    <col min="14836" max="14836" width="15" style="7" customWidth="1"/>
    <col min="14837" max="14837" width="18.5" style="7" customWidth="1"/>
    <col min="14838" max="14850" width="15" style="7" customWidth="1"/>
    <col min="14851" max="14856" width="18.5" style="7" customWidth="1"/>
    <col min="14857" max="15082" width="9" style="7"/>
    <col min="15083" max="15083" width="4.5" style="7" customWidth="1"/>
    <col min="15084" max="15084" width="23.125" style="7" customWidth="1"/>
    <col min="15085" max="15085" width="15.125" style="7" customWidth="1"/>
    <col min="15086" max="15086" width="15" style="7" customWidth="1"/>
    <col min="15087" max="15087" width="15.125" style="7" customWidth="1"/>
    <col min="15088" max="15090" width="15" style="7" customWidth="1"/>
    <col min="15091" max="15091" width="14.25" style="7" customWidth="1"/>
    <col min="15092" max="15092" width="15" style="7" customWidth="1"/>
    <col min="15093" max="15093" width="18.5" style="7" customWidth="1"/>
    <col min="15094" max="15106" width="15" style="7" customWidth="1"/>
    <col min="15107" max="15112" width="18.5" style="7" customWidth="1"/>
    <col min="15113" max="15338" width="9" style="7"/>
    <col min="15339" max="15339" width="4.5" style="7" customWidth="1"/>
    <col min="15340" max="15340" width="23.125" style="7" customWidth="1"/>
    <col min="15341" max="15341" width="15.125" style="7" customWidth="1"/>
    <col min="15342" max="15342" width="15" style="7" customWidth="1"/>
    <col min="15343" max="15343" width="15.125" style="7" customWidth="1"/>
    <col min="15344" max="15346" width="15" style="7" customWidth="1"/>
    <col min="15347" max="15347" width="14.25" style="7" customWidth="1"/>
    <col min="15348" max="15348" width="15" style="7" customWidth="1"/>
    <col min="15349" max="15349" width="18.5" style="7" customWidth="1"/>
    <col min="15350" max="15362" width="15" style="7" customWidth="1"/>
    <col min="15363" max="15368" width="18.5" style="7" customWidth="1"/>
    <col min="15369" max="15594" width="9" style="7"/>
    <col min="15595" max="15595" width="4.5" style="7" customWidth="1"/>
    <col min="15596" max="15596" width="23.125" style="7" customWidth="1"/>
    <col min="15597" max="15597" width="15.125" style="7" customWidth="1"/>
    <col min="15598" max="15598" width="15" style="7" customWidth="1"/>
    <col min="15599" max="15599" width="15.125" style="7" customWidth="1"/>
    <col min="15600" max="15602" width="15" style="7" customWidth="1"/>
    <col min="15603" max="15603" width="14.25" style="7" customWidth="1"/>
    <col min="15604" max="15604" width="15" style="7" customWidth="1"/>
    <col min="15605" max="15605" width="18.5" style="7" customWidth="1"/>
    <col min="15606" max="15618" width="15" style="7" customWidth="1"/>
    <col min="15619" max="15624" width="18.5" style="7" customWidth="1"/>
    <col min="15625" max="15850" width="9" style="7"/>
    <col min="15851" max="15851" width="4.5" style="7" customWidth="1"/>
    <col min="15852" max="15852" width="23.125" style="7" customWidth="1"/>
    <col min="15853" max="15853" width="15.125" style="7" customWidth="1"/>
    <col min="15854" max="15854" width="15" style="7" customWidth="1"/>
    <col min="15855" max="15855" width="15.125" style="7" customWidth="1"/>
    <col min="15856" max="15858" width="15" style="7" customWidth="1"/>
    <col min="15859" max="15859" width="14.25" style="7" customWidth="1"/>
    <col min="15860" max="15860" width="15" style="7" customWidth="1"/>
    <col min="15861" max="15861" width="18.5" style="7" customWidth="1"/>
    <col min="15862" max="15874" width="15" style="7" customWidth="1"/>
    <col min="15875" max="15880" width="18.5" style="7" customWidth="1"/>
    <col min="15881" max="16106" width="9" style="7"/>
    <col min="16107" max="16107" width="4.5" style="7" customWidth="1"/>
    <col min="16108" max="16108" width="23.125" style="7" customWidth="1"/>
    <col min="16109" max="16109" width="15.125" style="7" customWidth="1"/>
    <col min="16110" max="16110" width="15" style="7" customWidth="1"/>
    <col min="16111" max="16111" width="15.125" style="7" customWidth="1"/>
    <col min="16112" max="16114" width="15" style="7" customWidth="1"/>
    <col min="16115" max="16115" width="14.25" style="7" customWidth="1"/>
    <col min="16116" max="16116" width="15" style="7" customWidth="1"/>
    <col min="16117" max="16117" width="18.5" style="7" customWidth="1"/>
    <col min="16118" max="16130" width="15" style="7" customWidth="1"/>
    <col min="16131" max="16136" width="18.5" style="7" customWidth="1"/>
    <col min="16137" max="16384" width="9" style="7"/>
  </cols>
  <sheetData>
    <row r="1" spans="1:8" s="5" customFormat="1" ht="27.75" customHeight="1">
      <c r="A1" s="3"/>
      <c r="B1" s="4"/>
      <c r="C1" s="53" t="s">
        <v>0</v>
      </c>
      <c r="D1" s="53"/>
      <c r="E1" s="53"/>
      <c r="F1" s="53"/>
      <c r="G1" s="4"/>
      <c r="H1" s="4"/>
    </row>
    <row r="2" spans="1:8" s="5" customFormat="1" ht="27.75" customHeight="1">
      <c r="A2" s="54" t="s">
        <v>1</v>
      </c>
      <c r="B2" s="54"/>
      <c r="C2" s="55" t="s">
        <v>2</v>
      </c>
      <c r="D2" s="55"/>
      <c r="E2" s="55"/>
      <c r="F2" s="55"/>
      <c r="G2" s="6"/>
      <c r="H2" s="6"/>
    </row>
    <row r="3" spans="1:8" ht="27.75" customHeight="1">
      <c r="B3" s="8"/>
      <c r="C3" s="8"/>
      <c r="D3" s="56" t="s">
        <v>3</v>
      </c>
      <c r="E3" s="56"/>
      <c r="F3" s="8"/>
      <c r="H3" s="9" t="s">
        <v>4</v>
      </c>
    </row>
    <row r="4" spans="1:8" s="10" customFormat="1" ht="24.75" customHeight="1">
      <c r="A4" s="57" t="s">
        <v>5</v>
      </c>
      <c r="B4" s="58"/>
      <c r="C4" s="51" t="s">
        <v>6</v>
      </c>
      <c r="D4" s="51"/>
      <c r="E4" s="51" t="s">
        <v>7</v>
      </c>
      <c r="F4" s="51"/>
      <c r="G4" s="51" t="s">
        <v>8</v>
      </c>
      <c r="H4" s="52"/>
    </row>
    <row r="5" spans="1:8" s="13" customFormat="1" ht="19.5">
      <c r="A5" s="57"/>
      <c r="B5" s="58"/>
      <c r="C5" s="11" t="s">
        <v>9</v>
      </c>
      <c r="D5" s="11" t="s">
        <v>10</v>
      </c>
      <c r="E5" s="11" t="s">
        <v>9</v>
      </c>
      <c r="F5" s="11" t="s">
        <v>10</v>
      </c>
      <c r="G5" s="11" t="s">
        <v>9</v>
      </c>
      <c r="H5" s="12" t="s">
        <v>10</v>
      </c>
    </row>
    <row r="6" spans="1:8" s="13" customFormat="1" ht="24.6" customHeight="1">
      <c r="A6" s="47" t="s">
        <v>11</v>
      </c>
      <c r="B6" s="48"/>
      <c r="C6" s="14">
        <v>2725453566</v>
      </c>
      <c r="D6" s="14">
        <v>3115602538</v>
      </c>
      <c r="E6" s="14">
        <v>2579588822</v>
      </c>
      <c r="F6" s="14">
        <v>3198144083</v>
      </c>
      <c r="G6" s="14">
        <v>145864744</v>
      </c>
      <c r="H6" s="15">
        <v>-82541545</v>
      </c>
    </row>
    <row r="7" spans="1:8" s="13" customFormat="1" ht="24.6" customHeight="1">
      <c r="A7" s="49" t="s">
        <v>12</v>
      </c>
      <c r="B7" s="50"/>
      <c r="C7" s="14">
        <v>2725453566</v>
      </c>
      <c r="D7" s="14">
        <v>2851855874</v>
      </c>
      <c r="E7" s="14">
        <v>2579588822</v>
      </c>
      <c r="F7" s="14">
        <v>2689097857</v>
      </c>
      <c r="G7" s="14">
        <v>145864744</v>
      </c>
      <c r="H7" s="16">
        <v>162758017</v>
      </c>
    </row>
    <row r="8" spans="1:8" s="13" customFormat="1" ht="24.6" customHeight="1">
      <c r="A8" s="49" t="s">
        <v>13</v>
      </c>
      <c r="B8" s="50"/>
      <c r="C8" s="17">
        <v>0</v>
      </c>
      <c r="D8" s="14">
        <v>263746664</v>
      </c>
      <c r="E8" s="17">
        <v>0</v>
      </c>
      <c r="F8" s="14">
        <v>509046226</v>
      </c>
      <c r="G8" s="17">
        <v>0</v>
      </c>
      <c r="H8" s="16">
        <v>-245299562</v>
      </c>
    </row>
    <row r="9" spans="1:8" s="13" customFormat="1" ht="24.6" customHeight="1">
      <c r="A9" s="47" t="s">
        <v>14</v>
      </c>
      <c r="B9" s="48"/>
      <c r="C9" s="18">
        <f t="shared" ref="C9:H9" si="0">C10+C26+C57+C59+C86</f>
        <v>6811303163</v>
      </c>
      <c r="D9" s="18">
        <f t="shared" si="0"/>
        <v>6734080768</v>
      </c>
      <c r="E9" s="18">
        <f t="shared" si="0"/>
        <v>6456890454</v>
      </c>
      <c r="F9" s="18">
        <f t="shared" si="0"/>
        <v>6497926192</v>
      </c>
      <c r="G9" s="18">
        <f t="shared" si="0"/>
        <v>354412709</v>
      </c>
      <c r="H9" s="18">
        <f t="shared" si="0"/>
        <v>236154576</v>
      </c>
    </row>
    <row r="10" spans="1:8" s="13" customFormat="1" ht="24.6" customHeight="1">
      <c r="A10" s="59" t="s">
        <v>15</v>
      </c>
      <c r="B10" s="60"/>
      <c r="C10" s="19">
        <f t="shared" ref="C10:H10" si="1">SUM(C11:C25)</f>
        <v>3318881294</v>
      </c>
      <c r="D10" s="19">
        <f t="shared" si="1"/>
        <v>3263055742</v>
      </c>
      <c r="E10" s="19">
        <f t="shared" si="1"/>
        <v>3147964383</v>
      </c>
      <c r="F10" s="19">
        <f t="shared" si="1"/>
        <v>3229182075</v>
      </c>
      <c r="G10" s="18">
        <f t="shared" si="1"/>
        <v>170916911</v>
      </c>
      <c r="H10" s="18">
        <f t="shared" si="1"/>
        <v>33873667</v>
      </c>
    </row>
    <row r="11" spans="1:8" s="10" customFormat="1" ht="23.45" customHeight="1" outlineLevel="1">
      <c r="A11" s="20">
        <v>1</v>
      </c>
      <c r="B11" s="21" t="s">
        <v>16</v>
      </c>
      <c r="C11" s="19">
        <v>412511865</v>
      </c>
      <c r="D11" s="19">
        <v>236906403</v>
      </c>
      <c r="E11" s="19">
        <v>354729569</v>
      </c>
      <c r="F11" s="19">
        <v>194174463</v>
      </c>
      <c r="G11" s="18">
        <f>C11-E11</f>
        <v>57782296</v>
      </c>
      <c r="H11" s="18">
        <f>D11-F11</f>
        <v>42731940</v>
      </c>
    </row>
    <row r="12" spans="1:8" s="10" customFormat="1" ht="23.45" customHeight="1" outlineLevel="1">
      <c r="A12" s="20">
        <v>2</v>
      </c>
      <c r="B12" s="21" t="s">
        <v>17</v>
      </c>
      <c r="C12" s="19">
        <v>35399878</v>
      </c>
      <c r="D12" s="19">
        <v>30449870</v>
      </c>
      <c r="E12" s="19">
        <v>34630039</v>
      </c>
      <c r="F12" s="19">
        <v>29440265</v>
      </c>
      <c r="G12" s="18">
        <f>C12-E12</f>
        <v>769839</v>
      </c>
      <c r="H12" s="18">
        <f t="shared" ref="H12:H25" si="2">D12-F12</f>
        <v>1009605</v>
      </c>
    </row>
    <row r="13" spans="1:8" s="10" customFormat="1" ht="23.45" customHeight="1" outlineLevel="1">
      <c r="A13" s="20">
        <v>3</v>
      </c>
      <c r="B13" s="21" t="s">
        <v>18</v>
      </c>
      <c r="C13" s="19">
        <v>1225455616</v>
      </c>
      <c r="D13" s="19">
        <v>1222395736</v>
      </c>
      <c r="E13" s="19">
        <v>1231384991</v>
      </c>
      <c r="F13" s="19">
        <v>1231206386</v>
      </c>
      <c r="G13" s="18">
        <f t="shared" ref="G13:G25" si="3">C13-E13</f>
        <v>-5929375</v>
      </c>
      <c r="H13" s="18">
        <f t="shared" si="2"/>
        <v>-8810650</v>
      </c>
    </row>
    <row r="14" spans="1:8" s="10" customFormat="1" ht="23.45" customHeight="1" outlineLevel="1">
      <c r="A14" s="20">
        <v>4</v>
      </c>
      <c r="B14" s="21" t="s">
        <v>19</v>
      </c>
      <c r="C14" s="19">
        <v>818603506</v>
      </c>
      <c r="D14" s="19">
        <v>982079754</v>
      </c>
      <c r="E14" s="19">
        <v>752732508</v>
      </c>
      <c r="F14" s="19">
        <v>1031182018</v>
      </c>
      <c r="G14" s="18">
        <f t="shared" si="3"/>
        <v>65870998</v>
      </c>
      <c r="H14" s="18">
        <f t="shared" si="2"/>
        <v>-49102264</v>
      </c>
    </row>
    <row r="15" spans="1:8" s="10" customFormat="1" ht="34.35" customHeight="1" outlineLevel="1">
      <c r="A15" s="20">
        <v>5</v>
      </c>
      <c r="B15" s="21" t="s">
        <v>20</v>
      </c>
      <c r="C15" s="19">
        <v>33427973</v>
      </c>
      <c r="D15" s="19">
        <v>35694593</v>
      </c>
      <c r="E15" s="19">
        <v>33344733</v>
      </c>
      <c r="F15" s="19">
        <v>34069388</v>
      </c>
      <c r="G15" s="18">
        <f t="shared" si="3"/>
        <v>83240</v>
      </c>
      <c r="H15" s="18">
        <f t="shared" si="2"/>
        <v>1625205</v>
      </c>
    </row>
    <row r="16" spans="1:8" s="10" customFormat="1" ht="23.45" customHeight="1" outlineLevel="1">
      <c r="A16" s="20">
        <v>6</v>
      </c>
      <c r="B16" s="21" t="s">
        <v>21</v>
      </c>
      <c r="C16" s="19">
        <v>4265404</v>
      </c>
      <c r="D16" s="19">
        <v>3419864</v>
      </c>
      <c r="E16" s="19">
        <v>3168179</v>
      </c>
      <c r="F16" s="19">
        <v>2403616</v>
      </c>
      <c r="G16" s="18">
        <f t="shared" si="3"/>
        <v>1097225</v>
      </c>
      <c r="H16" s="18">
        <f t="shared" si="2"/>
        <v>1016248</v>
      </c>
    </row>
    <row r="17" spans="1:8" s="10" customFormat="1" ht="34.35" customHeight="1" outlineLevel="1">
      <c r="A17" s="20">
        <v>7</v>
      </c>
      <c r="B17" s="21" t="s">
        <v>22</v>
      </c>
      <c r="C17" s="19">
        <v>323704743</v>
      </c>
      <c r="D17" s="19">
        <v>313520719</v>
      </c>
      <c r="E17" s="19">
        <v>309942649</v>
      </c>
      <c r="F17" s="19">
        <v>300782884</v>
      </c>
      <c r="G17" s="18">
        <f t="shared" si="3"/>
        <v>13762094</v>
      </c>
      <c r="H17" s="18">
        <f t="shared" si="2"/>
        <v>12737835</v>
      </c>
    </row>
    <row r="18" spans="1:8" s="10" customFormat="1" ht="34.35" customHeight="1" outlineLevel="1">
      <c r="A18" s="20">
        <v>8</v>
      </c>
      <c r="B18" s="22" t="s">
        <v>23</v>
      </c>
      <c r="C18" s="23">
        <v>74254684</v>
      </c>
      <c r="D18" s="23">
        <v>64523295</v>
      </c>
      <c r="E18" s="23">
        <v>55868848</v>
      </c>
      <c r="F18" s="23">
        <v>46904065</v>
      </c>
      <c r="G18" s="18">
        <f t="shared" si="3"/>
        <v>18385836</v>
      </c>
      <c r="H18" s="18">
        <f t="shared" si="2"/>
        <v>17619230</v>
      </c>
    </row>
    <row r="19" spans="1:8" s="10" customFormat="1" ht="23.45" customHeight="1" outlineLevel="1">
      <c r="A19" s="20">
        <v>9</v>
      </c>
      <c r="B19" s="21" t="s">
        <v>24</v>
      </c>
      <c r="C19" s="19">
        <v>698882</v>
      </c>
      <c r="D19" s="19">
        <v>665101</v>
      </c>
      <c r="E19" s="19">
        <v>755660</v>
      </c>
      <c r="F19" s="19">
        <v>712962</v>
      </c>
      <c r="G19" s="18">
        <f t="shared" si="3"/>
        <v>-56778</v>
      </c>
      <c r="H19" s="18">
        <f t="shared" si="2"/>
        <v>-47861</v>
      </c>
    </row>
    <row r="20" spans="1:8" s="10" customFormat="1" ht="23.45" customHeight="1" outlineLevel="1">
      <c r="A20" s="20">
        <v>10</v>
      </c>
      <c r="B20" s="21" t="s">
        <v>25</v>
      </c>
      <c r="C20" s="19">
        <v>64254546</v>
      </c>
      <c r="D20" s="19">
        <v>59443263</v>
      </c>
      <c r="E20" s="19">
        <v>68162746</v>
      </c>
      <c r="F20" s="19">
        <v>62619710</v>
      </c>
      <c r="G20" s="18">
        <f t="shared" si="3"/>
        <v>-3908200</v>
      </c>
      <c r="H20" s="18">
        <f t="shared" si="2"/>
        <v>-3176447</v>
      </c>
    </row>
    <row r="21" spans="1:8" s="10" customFormat="1" ht="23.45" customHeight="1" outlineLevel="1">
      <c r="A21" s="20">
        <v>11</v>
      </c>
      <c r="B21" s="21" t="s">
        <v>26</v>
      </c>
      <c r="C21" s="19">
        <v>235298949</v>
      </c>
      <c r="D21" s="18">
        <v>225773823</v>
      </c>
      <c r="E21" s="19">
        <v>224291683</v>
      </c>
      <c r="F21" s="18">
        <v>215356610</v>
      </c>
      <c r="G21" s="18">
        <f t="shared" si="3"/>
        <v>11007266</v>
      </c>
      <c r="H21" s="18">
        <f t="shared" si="2"/>
        <v>10417213</v>
      </c>
    </row>
    <row r="22" spans="1:8" s="10" customFormat="1" ht="34.35" customHeight="1" outlineLevel="1">
      <c r="A22" s="20">
        <v>12</v>
      </c>
      <c r="B22" s="21" t="s">
        <v>27</v>
      </c>
      <c r="C22" s="19">
        <v>34471779</v>
      </c>
      <c r="D22" s="18">
        <v>41942047</v>
      </c>
      <c r="E22" s="19">
        <v>30644515</v>
      </c>
      <c r="F22" s="18">
        <v>35317291</v>
      </c>
      <c r="G22" s="18">
        <f t="shared" si="3"/>
        <v>3827264</v>
      </c>
      <c r="H22" s="18">
        <f t="shared" si="2"/>
        <v>6624756</v>
      </c>
    </row>
    <row r="23" spans="1:8" s="10" customFormat="1" ht="23.45" customHeight="1" outlineLevel="1">
      <c r="A23" s="20">
        <v>13</v>
      </c>
      <c r="B23" s="21" t="s">
        <v>28</v>
      </c>
      <c r="C23" s="19">
        <v>25365626</v>
      </c>
      <c r="D23" s="18">
        <v>17688620</v>
      </c>
      <c r="E23" s="19">
        <v>26195003</v>
      </c>
      <c r="F23" s="18">
        <v>17414933</v>
      </c>
      <c r="G23" s="18">
        <f t="shared" si="3"/>
        <v>-829377</v>
      </c>
      <c r="H23" s="18">
        <f t="shared" si="2"/>
        <v>273687</v>
      </c>
    </row>
    <row r="24" spans="1:8" s="10" customFormat="1" ht="34.35" customHeight="1" outlineLevel="1">
      <c r="A24" s="20">
        <v>14</v>
      </c>
      <c r="B24" s="21" t="s">
        <v>29</v>
      </c>
      <c r="C24" s="19">
        <v>18264485</v>
      </c>
      <c r="D24" s="18">
        <v>15649296</v>
      </c>
      <c r="E24" s="19">
        <v>9927335</v>
      </c>
      <c r="F24" s="18">
        <v>15411559</v>
      </c>
      <c r="G24" s="18">
        <f t="shared" si="3"/>
        <v>8337150</v>
      </c>
      <c r="H24" s="18">
        <f t="shared" si="2"/>
        <v>237737</v>
      </c>
    </row>
    <row r="25" spans="1:8" s="10" customFormat="1" ht="34.35" customHeight="1" outlineLevel="1">
      <c r="A25" s="20">
        <v>15</v>
      </c>
      <c r="B25" s="21" t="s">
        <v>30</v>
      </c>
      <c r="C25" s="19">
        <v>12903358</v>
      </c>
      <c r="D25" s="19">
        <v>12903358</v>
      </c>
      <c r="E25" s="19">
        <v>12185925</v>
      </c>
      <c r="F25" s="19">
        <v>12185925</v>
      </c>
      <c r="G25" s="18">
        <f t="shared" si="3"/>
        <v>717433</v>
      </c>
      <c r="H25" s="18">
        <f t="shared" si="2"/>
        <v>717433</v>
      </c>
    </row>
    <row r="26" spans="1:8" ht="24.6" customHeight="1">
      <c r="A26" s="59" t="s">
        <v>31</v>
      </c>
      <c r="B26" s="60"/>
      <c r="C26" s="19">
        <f t="shared" ref="C26:H26" si="4">SUM(C27:C56)</f>
        <v>2236212473</v>
      </c>
      <c r="D26" s="19">
        <f t="shared" si="4"/>
        <v>2206124775</v>
      </c>
      <c r="E26" s="19">
        <f t="shared" si="4"/>
        <v>2075775244</v>
      </c>
      <c r="F26" s="19">
        <f t="shared" si="4"/>
        <v>2033538127</v>
      </c>
      <c r="G26" s="19">
        <f t="shared" si="4"/>
        <v>160437229</v>
      </c>
      <c r="H26" s="18">
        <f t="shared" si="4"/>
        <v>172586648</v>
      </c>
    </row>
    <row r="27" spans="1:8" ht="23.45" customHeight="1" outlineLevel="1">
      <c r="A27" s="20">
        <v>1</v>
      </c>
      <c r="B27" s="21" t="s">
        <v>32</v>
      </c>
      <c r="C27" s="19">
        <v>28971530</v>
      </c>
      <c r="D27" s="19">
        <v>4970662</v>
      </c>
      <c r="E27" s="19">
        <v>32617898</v>
      </c>
      <c r="F27" s="19">
        <v>5018130</v>
      </c>
      <c r="G27" s="19">
        <f t="shared" ref="G27:H87" si="5">C27-E27</f>
        <v>-3646368</v>
      </c>
      <c r="H27" s="18">
        <f t="shared" si="5"/>
        <v>-47468</v>
      </c>
    </row>
    <row r="28" spans="1:8" ht="23.45" customHeight="1" outlineLevel="1">
      <c r="A28" s="20">
        <v>2</v>
      </c>
      <c r="B28" s="21" t="s">
        <v>33</v>
      </c>
      <c r="C28" s="19">
        <v>24996918</v>
      </c>
      <c r="D28" s="19">
        <v>40551624</v>
      </c>
      <c r="E28" s="19">
        <v>36139556</v>
      </c>
      <c r="F28" s="19">
        <v>36877841</v>
      </c>
      <c r="G28" s="19">
        <f t="shared" si="5"/>
        <v>-11142638</v>
      </c>
      <c r="H28" s="18">
        <f t="shared" si="5"/>
        <v>3673783</v>
      </c>
    </row>
    <row r="29" spans="1:8" ht="23.45" customHeight="1" outlineLevel="1">
      <c r="A29" s="20">
        <v>3</v>
      </c>
      <c r="B29" s="21" t="s">
        <v>34</v>
      </c>
      <c r="C29" s="19">
        <v>46201</v>
      </c>
      <c r="D29" s="19">
        <v>11700</v>
      </c>
      <c r="E29" s="19">
        <v>45023</v>
      </c>
      <c r="F29" s="19">
        <v>20018</v>
      </c>
      <c r="G29" s="19">
        <f>C29-E29</f>
        <v>1178</v>
      </c>
      <c r="H29" s="18">
        <f>D29-F29</f>
        <v>-8318</v>
      </c>
    </row>
    <row r="30" spans="1:8" ht="34.35" customHeight="1" outlineLevel="1">
      <c r="A30" s="20">
        <v>4</v>
      </c>
      <c r="B30" s="21" t="s">
        <v>35</v>
      </c>
      <c r="C30" s="19">
        <v>39258495</v>
      </c>
      <c r="D30" s="19">
        <v>37967730</v>
      </c>
      <c r="E30" s="19">
        <v>40365734</v>
      </c>
      <c r="F30" s="19">
        <v>38953825</v>
      </c>
      <c r="G30" s="19">
        <f t="shared" si="5"/>
        <v>-1107239</v>
      </c>
      <c r="H30" s="18">
        <f t="shared" si="5"/>
        <v>-986095</v>
      </c>
    </row>
    <row r="31" spans="1:8" ht="23.45" customHeight="1" outlineLevel="1">
      <c r="A31" s="20">
        <v>5</v>
      </c>
      <c r="B31" s="21" t="s">
        <v>36</v>
      </c>
      <c r="C31" s="19">
        <v>654349</v>
      </c>
      <c r="D31" s="19">
        <v>560134</v>
      </c>
      <c r="E31" s="19">
        <v>682654</v>
      </c>
      <c r="F31" s="19">
        <v>477574</v>
      </c>
      <c r="G31" s="19">
        <f t="shared" si="5"/>
        <v>-28305</v>
      </c>
      <c r="H31" s="18">
        <f t="shared" si="5"/>
        <v>82560</v>
      </c>
    </row>
    <row r="32" spans="1:8" ht="34.35" customHeight="1" outlineLevel="1">
      <c r="A32" s="20">
        <v>6</v>
      </c>
      <c r="B32" s="21" t="s">
        <v>37</v>
      </c>
      <c r="C32" s="19">
        <v>705892</v>
      </c>
      <c r="D32" s="19">
        <v>739167</v>
      </c>
      <c r="E32" s="23">
        <v>0</v>
      </c>
      <c r="F32" s="23">
        <v>0</v>
      </c>
      <c r="G32" s="19">
        <f>C32-E32</f>
        <v>705892</v>
      </c>
      <c r="H32" s="18">
        <f>D32-F32</f>
        <v>739167</v>
      </c>
    </row>
    <row r="33" spans="1:8" ht="34.35" customHeight="1" outlineLevel="1">
      <c r="A33" s="20">
        <v>7</v>
      </c>
      <c r="B33" s="21" t="s">
        <v>38</v>
      </c>
      <c r="C33" s="19">
        <v>142986860</v>
      </c>
      <c r="D33" s="19">
        <v>147553944</v>
      </c>
      <c r="E33" s="19">
        <v>135873294</v>
      </c>
      <c r="F33" s="19">
        <v>140021998</v>
      </c>
      <c r="G33" s="19">
        <f t="shared" si="5"/>
        <v>7113566</v>
      </c>
      <c r="H33" s="18">
        <f t="shared" si="5"/>
        <v>7531946</v>
      </c>
    </row>
    <row r="34" spans="1:8" ht="34.35" customHeight="1" outlineLevel="1">
      <c r="A34" s="20">
        <v>8</v>
      </c>
      <c r="B34" s="21" t="s">
        <v>39</v>
      </c>
      <c r="C34" s="19">
        <v>52784839</v>
      </c>
      <c r="D34" s="19">
        <v>50915048</v>
      </c>
      <c r="E34" s="19">
        <v>50202567</v>
      </c>
      <c r="F34" s="19">
        <v>47745690</v>
      </c>
      <c r="G34" s="19">
        <f t="shared" si="5"/>
        <v>2582272</v>
      </c>
      <c r="H34" s="18">
        <f t="shared" si="5"/>
        <v>3169358</v>
      </c>
    </row>
    <row r="35" spans="1:8" ht="34.35" customHeight="1" outlineLevel="1">
      <c r="A35" s="20">
        <v>9</v>
      </c>
      <c r="B35" s="21" t="s">
        <v>40</v>
      </c>
      <c r="C35" s="19">
        <v>16313937</v>
      </c>
      <c r="D35" s="19">
        <v>16211100</v>
      </c>
      <c r="E35" s="19">
        <v>15252568</v>
      </c>
      <c r="F35" s="19">
        <v>15142610</v>
      </c>
      <c r="G35" s="19">
        <f t="shared" si="5"/>
        <v>1061369</v>
      </c>
      <c r="H35" s="18">
        <f t="shared" si="5"/>
        <v>1068490</v>
      </c>
    </row>
    <row r="36" spans="1:8" ht="34.35" customHeight="1" outlineLevel="1">
      <c r="A36" s="20">
        <v>10</v>
      </c>
      <c r="B36" s="21" t="s">
        <v>41</v>
      </c>
      <c r="C36" s="19">
        <v>3881665</v>
      </c>
      <c r="D36" s="19">
        <v>3874726</v>
      </c>
      <c r="E36" s="19">
        <v>3502874</v>
      </c>
      <c r="F36" s="19">
        <v>3499324</v>
      </c>
      <c r="G36" s="19">
        <f t="shared" si="5"/>
        <v>378791</v>
      </c>
      <c r="H36" s="18">
        <f t="shared" si="5"/>
        <v>375402</v>
      </c>
    </row>
    <row r="37" spans="1:8" ht="34.35" customHeight="1" outlineLevel="1">
      <c r="A37" s="24">
        <v>11</v>
      </c>
      <c r="B37" s="25" t="s">
        <v>42</v>
      </c>
      <c r="C37" s="26">
        <v>2192325</v>
      </c>
      <c r="D37" s="26">
        <v>2704701</v>
      </c>
      <c r="E37" s="26">
        <v>2138524</v>
      </c>
      <c r="F37" s="26">
        <v>2667476</v>
      </c>
      <c r="G37" s="26">
        <f t="shared" si="5"/>
        <v>53801</v>
      </c>
      <c r="H37" s="27">
        <f t="shared" si="5"/>
        <v>37225</v>
      </c>
    </row>
    <row r="38" spans="1:8" ht="34.35" customHeight="1" outlineLevel="1">
      <c r="A38" s="20">
        <v>12</v>
      </c>
      <c r="B38" s="21" t="s">
        <v>43</v>
      </c>
      <c r="C38" s="19">
        <v>35277826</v>
      </c>
      <c r="D38" s="19">
        <v>39424990</v>
      </c>
      <c r="E38" s="19">
        <v>32771225</v>
      </c>
      <c r="F38" s="19">
        <v>36884579</v>
      </c>
      <c r="G38" s="19">
        <f t="shared" si="5"/>
        <v>2506601</v>
      </c>
      <c r="H38" s="18">
        <f t="shared" si="5"/>
        <v>2540411</v>
      </c>
    </row>
    <row r="39" spans="1:8" ht="34.35" customHeight="1" outlineLevel="1">
      <c r="A39" s="20">
        <v>13</v>
      </c>
      <c r="B39" s="21" t="s">
        <v>44</v>
      </c>
      <c r="C39" s="19">
        <v>1186880</v>
      </c>
      <c r="D39" s="19">
        <v>1290290</v>
      </c>
      <c r="E39" s="19">
        <v>1177983</v>
      </c>
      <c r="F39" s="19">
        <v>1273879</v>
      </c>
      <c r="G39" s="19">
        <f t="shared" si="5"/>
        <v>8897</v>
      </c>
      <c r="H39" s="18">
        <f t="shared" si="5"/>
        <v>16411</v>
      </c>
    </row>
    <row r="40" spans="1:8" ht="23.45" customHeight="1" outlineLevel="1">
      <c r="A40" s="20">
        <v>14</v>
      </c>
      <c r="B40" s="21" t="s">
        <v>45</v>
      </c>
      <c r="C40" s="19">
        <v>8327018</v>
      </c>
      <c r="D40" s="19">
        <v>7658680</v>
      </c>
      <c r="E40" s="19">
        <v>9865796</v>
      </c>
      <c r="F40" s="19">
        <v>9421341</v>
      </c>
      <c r="G40" s="19">
        <f t="shared" si="5"/>
        <v>-1538778</v>
      </c>
      <c r="H40" s="18">
        <f t="shared" si="5"/>
        <v>-1762661</v>
      </c>
    </row>
    <row r="41" spans="1:8" ht="23.45" customHeight="1" outlineLevel="1">
      <c r="A41" s="20">
        <v>15</v>
      </c>
      <c r="B41" s="21" t="s">
        <v>46</v>
      </c>
      <c r="C41" s="19">
        <v>9134098</v>
      </c>
      <c r="D41" s="19">
        <v>11002796</v>
      </c>
      <c r="E41" s="19">
        <v>9515988</v>
      </c>
      <c r="F41" s="19">
        <v>10675193</v>
      </c>
      <c r="G41" s="19">
        <f t="shared" si="5"/>
        <v>-381890</v>
      </c>
      <c r="H41" s="18">
        <f t="shared" si="5"/>
        <v>327603</v>
      </c>
    </row>
    <row r="42" spans="1:8" ht="23.45" customHeight="1" outlineLevel="1">
      <c r="A42" s="20">
        <v>16</v>
      </c>
      <c r="B42" s="21" t="s">
        <v>47</v>
      </c>
      <c r="C42" s="19">
        <v>64298803</v>
      </c>
      <c r="D42" s="19">
        <v>44103429</v>
      </c>
      <c r="E42" s="19">
        <v>54275602</v>
      </c>
      <c r="F42" s="19">
        <v>38169942</v>
      </c>
      <c r="G42" s="19">
        <f t="shared" si="5"/>
        <v>10023201</v>
      </c>
      <c r="H42" s="18">
        <f t="shared" si="5"/>
        <v>5933487</v>
      </c>
    </row>
    <row r="43" spans="1:8" ht="34.35" customHeight="1" outlineLevel="1">
      <c r="A43" s="20">
        <v>17</v>
      </c>
      <c r="B43" s="21" t="s">
        <v>48</v>
      </c>
      <c r="C43" s="19">
        <f>3224402+60000</f>
        <v>3284402</v>
      </c>
      <c r="D43" s="19">
        <v>2015498</v>
      </c>
      <c r="E43" s="19">
        <v>3034456</v>
      </c>
      <c r="F43" s="19">
        <v>1928388</v>
      </c>
      <c r="G43" s="19">
        <f t="shared" si="5"/>
        <v>249946</v>
      </c>
      <c r="H43" s="18">
        <f t="shared" si="5"/>
        <v>87110</v>
      </c>
    </row>
    <row r="44" spans="1:8" ht="23.45" customHeight="1" outlineLevel="1">
      <c r="A44" s="20">
        <v>18</v>
      </c>
      <c r="B44" s="21" t="s">
        <v>49</v>
      </c>
      <c r="C44" s="19">
        <v>79377323</v>
      </c>
      <c r="D44" s="19">
        <v>76087943</v>
      </c>
      <c r="E44" s="19">
        <v>73004337</v>
      </c>
      <c r="F44" s="19">
        <v>70655787</v>
      </c>
      <c r="G44" s="19">
        <f t="shared" si="5"/>
        <v>6372986</v>
      </c>
      <c r="H44" s="18">
        <f t="shared" si="5"/>
        <v>5432156</v>
      </c>
    </row>
    <row r="45" spans="1:8" ht="34.35" customHeight="1" outlineLevel="1">
      <c r="A45" s="20">
        <v>19</v>
      </c>
      <c r="B45" s="21" t="s">
        <v>50</v>
      </c>
      <c r="C45" s="19">
        <v>23547493</v>
      </c>
      <c r="D45" s="19">
        <v>18441652</v>
      </c>
      <c r="E45" s="19">
        <v>20772089</v>
      </c>
      <c r="F45" s="19">
        <v>16215223</v>
      </c>
      <c r="G45" s="19">
        <f t="shared" si="5"/>
        <v>2775404</v>
      </c>
      <c r="H45" s="18">
        <f t="shared" si="5"/>
        <v>2226429</v>
      </c>
    </row>
    <row r="46" spans="1:8" ht="23.45" customHeight="1" outlineLevel="1">
      <c r="A46" s="20">
        <v>20</v>
      </c>
      <c r="B46" s="21" t="s">
        <v>51</v>
      </c>
      <c r="C46" s="19">
        <v>536770</v>
      </c>
      <c r="D46" s="19">
        <v>643008</v>
      </c>
      <c r="E46" s="19">
        <v>521228</v>
      </c>
      <c r="F46" s="19">
        <v>622893</v>
      </c>
      <c r="G46" s="19">
        <f t="shared" si="5"/>
        <v>15542</v>
      </c>
      <c r="H46" s="18">
        <f t="shared" si="5"/>
        <v>20115</v>
      </c>
    </row>
    <row r="47" spans="1:8" s="1" customFormat="1" ht="23.45" customHeight="1" outlineLevel="1">
      <c r="A47" s="20">
        <v>21</v>
      </c>
      <c r="B47" s="21" t="s">
        <v>52</v>
      </c>
      <c r="C47" s="19">
        <v>10028404</v>
      </c>
      <c r="D47" s="19">
        <v>12503140</v>
      </c>
      <c r="E47" s="19">
        <v>9338150</v>
      </c>
      <c r="F47" s="19">
        <v>12950011</v>
      </c>
      <c r="G47" s="19">
        <f>C47-E47</f>
        <v>690254</v>
      </c>
      <c r="H47" s="18">
        <f>D47-F47</f>
        <v>-446871</v>
      </c>
    </row>
    <row r="48" spans="1:8" ht="23.45" customHeight="1" outlineLevel="1">
      <c r="A48" s="20">
        <v>22</v>
      </c>
      <c r="B48" s="21" t="s">
        <v>53</v>
      </c>
      <c r="C48" s="19">
        <v>699230514</v>
      </c>
      <c r="D48" s="19">
        <v>699230514</v>
      </c>
      <c r="E48" s="19">
        <v>594645725</v>
      </c>
      <c r="F48" s="19">
        <v>594645725</v>
      </c>
      <c r="G48" s="19">
        <f t="shared" si="5"/>
        <v>104584789</v>
      </c>
      <c r="H48" s="18">
        <f t="shared" si="5"/>
        <v>104584789</v>
      </c>
    </row>
    <row r="49" spans="1:8" ht="23.45" customHeight="1" outlineLevel="1">
      <c r="A49" s="20">
        <v>23</v>
      </c>
      <c r="B49" s="21" t="s">
        <v>54</v>
      </c>
      <c r="C49" s="19">
        <v>43612586</v>
      </c>
      <c r="D49" s="19">
        <v>42067344</v>
      </c>
      <c r="E49" s="19">
        <v>40610234</v>
      </c>
      <c r="F49" s="19">
        <v>39162963</v>
      </c>
      <c r="G49" s="19">
        <f t="shared" si="5"/>
        <v>3002352</v>
      </c>
      <c r="H49" s="18">
        <f t="shared" si="5"/>
        <v>2904381</v>
      </c>
    </row>
    <row r="50" spans="1:8" ht="34.35" customHeight="1" outlineLevel="1">
      <c r="A50" s="20">
        <v>24</v>
      </c>
      <c r="B50" s="21" t="s">
        <v>55</v>
      </c>
      <c r="C50" s="19">
        <v>921943</v>
      </c>
      <c r="D50" s="19">
        <v>665455</v>
      </c>
      <c r="E50" s="19">
        <v>896028</v>
      </c>
      <c r="F50" s="19">
        <v>647010</v>
      </c>
      <c r="G50" s="19">
        <f t="shared" si="5"/>
        <v>25915</v>
      </c>
      <c r="H50" s="18">
        <f t="shared" si="5"/>
        <v>18445</v>
      </c>
    </row>
    <row r="51" spans="1:8" ht="23.45" customHeight="1" outlineLevel="1">
      <c r="A51" s="20">
        <v>25</v>
      </c>
      <c r="B51" s="21" t="s">
        <v>56</v>
      </c>
      <c r="C51" s="19">
        <v>817107053</v>
      </c>
      <c r="D51" s="19">
        <v>817107053</v>
      </c>
      <c r="E51" s="19">
        <v>782172034</v>
      </c>
      <c r="F51" s="19">
        <v>782172034</v>
      </c>
      <c r="G51" s="19">
        <f t="shared" si="5"/>
        <v>34935019</v>
      </c>
      <c r="H51" s="18">
        <f t="shared" si="5"/>
        <v>34935019</v>
      </c>
    </row>
    <row r="52" spans="1:8" ht="23.45" customHeight="1" outlineLevel="1">
      <c r="A52" s="20">
        <v>26</v>
      </c>
      <c r="B52" s="21" t="s">
        <v>57</v>
      </c>
      <c r="C52" s="19">
        <v>122850973</v>
      </c>
      <c r="D52" s="19">
        <v>122850973</v>
      </c>
      <c r="E52" s="19">
        <v>122769730</v>
      </c>
      <c r="F52" s="19">
        <v>122769730</v>
      </c>
      <c r="G52" s="19">
        <f t="shared" si="5"/>
        <v>81243</v>
      </c>
      <c r="H52" s="18">
        <f t="shared" si="5"/>
        <v>81243</v>
      </c>
    </row>
    <row r="53" spans="1:8" ht="23.45" customHeight="1" outlineLevel="1">
      <c r="A53" s="20">
        <v>27</v>
      </c>
      <c r="B53" s="21" t="s">
        <v>58</v>
      </c>
      <c r="C53" s="19">
        <v>842078</v>
      </c>
      <c r="D53" s="19">
        <v>964160</v>
      </c>
      <c r="E53" s="19">
        <v>806344</v>
      </c>
      <c r="F53" s="19">
        <v>951982</v>
      </c>
      <c r="G53" s="19">
        <f t="shared" si="5"/>
        <v>35734</v>
      </c>
      <c r="H53" s="18">
        <f t="shared" si="5"/>
        <v>12178</v>
      </c>
    </row>
    <row r="54" spans="1:8" s="28" customFormat="1" ht="23.45" customHeight="1" outlineLevel="1">
      <c r="A54" s="20">
        <v>28</v>
      </c>
      <c r="B54" s="21" t="s">
        <v>59</v>
      </c>
      <c r="C54" s="19">
        <v>377063</v>
      </c>
      <c r="D54" s="19">
        <v>336775</v>
      </c>
      <c r="E54" s="19">
        <v>345845</v>
      </c>
      <c r="F54" s="19">
        <v>289484</v>
      </c>
      <c r="G54" s="19">
        <f t="shared" si="5"/>
        <v>31218</v>
      </c>
      <c r="H54" s="18">
        <f t="shared" si="5"/>
        <v>47291</v>
      </c>
    </row>
    <row r="55" spans="1:8" s="28" customFormat="1" ht="23.45" customHeight="1" outlineLevel="1">
      <c r="A55" s="20">
        <v>29</v>
      </c>
      <c r="B55" s="21" t="s">
        <v>60</v>
      </c>
      <c r="C55" s="19">
        <v>2850242</v>
      </c>
      <c r="D55" s="19">
        <v>3091874</v>
      </c>
      <c r="E55" s="19">
        <v>1794858</v>
      </c>
      <c r="F55" s="19">
        <v>3105277</v>
      </c>
      <c r="G55" s="19">
        <f t="shared" si="5"/>
        <v>1055384</v>
      </c>
      <c r="H55" s="18">
        <f t="shared" si="5"/>
        <v>-13403</v>
      </c>
    </row>
    <row r="56" spans="1:8" s="28" customFormat="1" ht="23.45" customHeight="1" outlineLevel="1">
      <c r="A56" s="20">
        <v>30</v>
      </c>
      <c r="B56" s="21" t="s">
        <v>61</v>
      </c>
      <c r="C56" s="19">
        <v>627993</v>
      </c>
      <c r="D56" s="19">
        <v>578665</v>
      </c>
      <c r="E56" s="19">
        <v>636900</v>
      </c>
      <c r="F56" s="19">
        <v>572200</v>
      </c>
      <c r="G56" s="19">
        <f t="shared" si="5"/>
        <v>-8907</v>
      </c>
      <c r="H56" s="18">
        <f t="shared" si="5"/>
        <v>6465</v>
      </c>
    </row>
    <row r="57" spans="1:8" ht="24.6" customHeight="1">
      <c r="A57" s="59" t="s">
        <v>62</v>
      </c>
      <c r="B57" s="60"/>
      <c r="C57" s="19">
        <f t="shared" ref="C57:H57" si="6">SUM(C58)</f>
        <v>892966201</v>
      </c>
      <c r="D57" s="19">
        <f t="shared" si="6"/>
        <v>892965251</v>
      </c>
      <c r="E57" s="19">
        <f t="shared" si="6"/>
        <v>872884715</v>
      </c>
      <c r="F57" s="19">
        <f t="shared" si="6"/>
        <v>872884415</v>
      </c>
      <c r="G57" s="19">
        <f t="shared" si="6"/>
        <v>20081486</v>
      </c>
      <c r="H57" s="18">
        <f t="shared" si="6"/>
        <v>20080836</v>
      </c>
    </row>
    <row r="58" spans="1:8" ht="23.45" customHeight="1" outlineLevel="1">
      <c r="A58" s="20"/>
      <c r="B58" s="29" t="s">
        <v>63</v>
      </c>
      <c r="C58" s="19">
        <v>892966201</v>
      </c>
      <c r="D58" s="19">
        <v>892965251</v>
      </c>
      <c r="E58" s="19">
        <v>872884715</v>
      </c>
      <c r="F58" s="19">
        <v>872884415</v>
      </c>
      <c r="G58" s="19">
        <f t="shared" si="5"/>
        <v>20081486</v>
      </c>
      <c r="H58" s="18">
        <f t="shared" si="5"/>
        <v>20080836</v>
      </c>
    </row>
    <row r="59" spans="1:8" ht="35.450000000000003" customHeight="1">
      <c r="A59" s="45" t="s">
        <v>64</v>
      </c>
      <c r="B59" s="46"/>
      <c r="C59" s="19">
        <f t="shared" ref="C59:H59" si="7">SUM(C60:C85)</f>
        <v>345220671</v>
      </c>
      <c r="D59" s="19">
        <f t="shared" si="7"/>
        <v>339314080</v>
      </c>
      <c r="E59" s="19">
        <f t="shared" si="7"/>
        <v>338547840</v>
      </c>
      <c r="F59" s="19">
        <f t="shared" si="7"/>
        <v>338967923</v>
      </c>
      <c r="G59" s="18">
        <f t="shared" si="7"/>
        <v>6672831</v>
      </c>
      <c r="H59" s="18">
        <f t="shared" si="7"/>
        <v>346157</v>
      </c>
    </row>
    <row r="60" spans="1:8" ht="34.35" customHeight="1" outlineLevel="1">
      <c r="A60" s="20">
        <v>1</v>
      </c>
      <c r="B60" s="30" t="s">
        <v>65</v>
      </c>
      <c r="C60" s="31">
        <v>4183617</v>
      </c>
      <c r="D60" s="31">
        <v>4153457</v>
      </c>
      <c r="E60" s="19">
        <v>4326360</v>
      </c>
      <c r="F60" s="19">
        <v>4294502</v>
      </c>
      <c r="G60" s="19">
        <f t="shared" si="5"/>
        <v>-142743</v>
      </c>
      <c r="H60" s="18">
        <f t="shared" si="5"/>
        <v>-141045</v>
      </c>
    </row>
    <row r="61" spans="1:8" ht="34.35" customHeight="1" outlineLevel="1">
      <c r="A61" s="20">
        <v>2</v>
      </c>
      <c r="B61" s="21" t="s">
        <v>66</v>
      </c>
      <c r="C61" s="19">
        <v>44487928</v>
      </c>
      <c r="D61" s="19">
        <v>47487928</v>
      </c>
      <c r="E61" s="19">
        <v>40769512</v>
      </c>
      <c r="F61" s="19">
        <v>40759512</v>
      </c>
      <c r="G61" s="19">
        <f t="shared" si="5"/>
        <v>3718416</v>
      </c>
      <c r="H61" s="18">
        <f t="shared" si="5"/>
        <v>6728416</v>
      </c>
    </row>
    <row r="62" spans="1:8" ht="23.45" customHeight="1" outlineLevel="1">
      <c r="A62" s="20">
        <v>3</v>
      </c>
      <c r="B62" s="21" t="s">
        <v>67</v>
      </c>
      <c r="C62" s="19">
        <v>867322</v>
      </c>
      <c r="D62" s="19">
        <v>900599</v>
      </c>
      <c r="E62" s="19">
        <v>849760</v>
      </c>
      <c r="F62" s="19">
        <v>902520</v>
      </c>
      <c r="G62" s="19">
        <f t="shared" si="5"/>
        <v>17562</v>
      </c>
      <c r="H62" s="18">
        <f t="shared" si="5"/>
        <v>-1921</v>
      </c>
    </row>
    <row r="63" spans="1:8" ht="23.45" customHeight="1" outlineLevel="1">
      <c r="A63" s="20">
        <v>4</v>
      </c>
      <c r="B63" s="21" t="s">
        <v>68</v>
      </c>
      <c r="C63" s="19">
        <v>6000</v>
      </c>
      <c r="D63" s="19">
        <v>2706291</v>
      </c>
      <c r="E63" s="19">
        <v>6000</v>
      </c>
      <c r="F63" s="19">
        <v>2806469</v>
      </c>
      <c r="G63" s="32">
        <f t="shared" si="5"/>
        <v>0</v>
      </c>
      <c r="H63" s="18">
        <f t="shared" si="5"/>
        <v>-100178</v>
      </c>
    </row>
    <row r="64" spans="1:8" ht="23.45" customHeight="1" outlineLevel="1">
      <c r="A64" s="20">
        <v>5</v>
      </c>
      <c r="B64" s="21" t="s">
        <v>69</v>
      </c>
      <c r="C64" s="19">
        <v>69181</v>
      </c>
      <c r="D64" s="19">
        <v>78748</v>
      </c>
      <c r="E64" s="19">
        <v>63829</v>
      </c>
      <c r="F64" s="19">
        <v>97269</v>
      </c>
      <c r="G64" s="19">
        <f>C64-E64</f>
        <v>5352</v>
      </c>
      <c r="H64" s="18">
        <f>D64-F64</f>
        <v>-18521</v>
      </c>
    </row>
    <row r="65" spans="1:8" ht="23.45" customHeight="1" outlineLevel="1">
      <c r="A65" s="20">
        <v>6</v>
      </c>
      <c r="B65" s="21" t="s">
        <v>70</v>
      </c>
      <c r="C65" s="19">
        <v>403300</v>
      </c>
      <c r="D65" s="19">
        <v>423886</v>
      </c>
      <c r="E65" s="19">
        <v>401647</v>
      </c>
      <c r="F65" s="19">
        <v>420820</v>
      </c>
      <c r="G65" s="19">
        <f t="shared" si="5"/>
        <v>1653</v>
      </c>
      <c r="H65" s="18">
        <f t="shared" si="5"/>
        <v>3066</v>
      </c>
    </row>
    <row r="66" spans="1:8" ht="34.35" customHeight="1" outlineLevel="1">
      <c r="A66" s="20">
        <v>7</v>
      </c>
      <c r="B66" s="21" t="s">
        <v>71</v>
      </c>
      <c r="C66" s="19">
        <v>419455</v>
      </c>
      <c r="D66" s="19">
        <v>433600</v>
      </c>
      <c r="E66" s="19">
        <v>415264</v>
      </c>
      <c r="F66" s="19">
        <v>413283</v>
      </c>
      <c r="G66" s="19">
        <f t="shared" si="5"/>
        <v>4191</v>
      </c>
      <c r="H66" s="18">
        <f t="shared" si="5"/>
        <v>20317</v>
      </c>
    </row>
    <row r="67" spans="1:8" ht="49.5" customHeight="1" outlineLevel="1">
      <c r="A67" s="20">
        <v>8</v>
      </c>
      <c r="B67" s="21" t="s">
        <v>72</v>
      </c>
      <c r="C67" s="19">
        <v>4564</v>
      </c>
      <c r="D67" s="19">
        <v>15313</v>
      </c>
      <c r="E67" s="19">
        <v>2760</v>
      </c>
      <c r="F67" s="19">
        <v>17887</v>
      </c>
      <c r="G67" s="19">
        <f t="shared" si="5"/>
        <v>1804</v>
      </c>
      <c r="H67" s="18">
        <f t="shared" si="5"/>
        <v>-2574</v>
      </c>
    </row>
    <row r="68" spans="1:8" ht="23.45" customHeight="1" outlineLevel="1">
      <c r="A68" s="20">
        <v>9</v>
      </c>
      <c r="B68" s="21" t="s">
        <v>73</v>
      </c>
      <c r="C68" s="19">
        <v>10147472</v>
      </c>
      <c r="D68" s="19">
        <v>669474</v>
      </c>
      <c r="E68" s="19">
        <v>10030010</v>
      </c>
      <c r="F68" s="19">
        <v>516019</v>
      </c>
      <c r="G68" s="19">
        <f t="shared" si="5"/>
        <v>117462</v>
      </c>
      <c r="H68" s="18">
        <f t="shared" si="5"/>
        <v>153455</v>
      </c>
    </row>
    <row r="69" spans="1:8" ht="23.45" customHeight="1" outlineLevel="1">
      <c r="A69" s="20">
        <v>10</v>
      </c>
      <c r="B69" s="21" t="s">
        <v>74</v>
      </c>
      <c r="C69" s="19">
        <v>859832</v>
      </c>
      <c r="D69" s="19">
        <v>745103</v>
      </c>
      <c r="E69" s="19">
        <v>816760</v>
      </c>
      <c r="F69" s="19">
        <v>776229</v>
      </c>
      <c r="G69" s="19">
        <f t="shared" si="5"/>
        <v>43072</v>
      </c>
      <c r="H69" s="18">
        <f t="shared" si="5"/>
        <v>-31126</v>
      </c>
    </row>
    <row r="70" spans="1:8" ht="23.45" customHeight="1" outlineLevel="1">
      <c r="A70" s="24">
        <v>11</v>
      </c>
      <c r="B70" s="25" t="s">
        <v>75</v>
      </c>
      <c r="C70" s="26">
        <v>5922627</v>
      </c>
      <c r="D70" s="26">
        <v>7031509</v>
      </c>
      <c r="E70" s="26">
        <v>4554778</v>
      </c>
      <c r="F70" s="26">
        <v>6821902</v>
      </c>
      <c r="G70" s="26">
        <f t="shared" si="5"/>
        <v>1367849</v>
      </c>
      <c r="H70" s="27">
        <f t="shared" si="5"/>
        <v>209607</v>
      </c>
    </row>
    <row r="71" spans="1:8" ht="34.35" customHeight="1" outlineLevel="1">
      <c r="A71" s="20">
        <v>12</v>
      </c>
      <c r="B71" s="21" t="s">
        <v>76</v>
      </c>
      <c r="C71" s="19">
        <v>192218</v>
      </c>
      <c r="D71" s="19">
        <v>101347</v>
      </c>
      <c r="E71" s="19">
        <v>22</v>
      </c>
      <c r="F71" s="19">
        <v>76415</v>
      </c>
      <c r="G71" s="19">
        <f t="shared" si="5"/>
        <v>192196</v>
      </c>
      <c r="H71" s="18">
        <f t="shared" si="5"/>
        <v>24932</v>
      </c>
    </row>
    <row r="72" spans="1:8" ht="23.45" customHeight="1" outlineLevel="1">
      <c r="A72" s="20">
        <v>13</v>
      </c>
      <c r="B72" s="21" t="s">
        <v>77</v>
      </c>
      <c r="C72" s="19">
        <v>662291</v>
      </c>
      <c r="D72" s="19">
        <v>678556</v>
      </c>
      <c r="E72" s="19">
        <v>567055</v>
      </c>
      <c r="F72" s="19">
        <v>711918</v>
      </c>
      <c r="G72" s="19">
        <f>C72-E72</f>
        <v>95236</v>
      </c>
      <c r="H72" s="18">
        <f>D72-F72</f>
        <v>-33362</v>
      </c>
    </row>
    <row r="73" spans="1:8" ht="23.45" customHeight="1" outlineLevel="1">
      <c r="A73" s="20">
        <v>14</v>
      </c>
      <c r="B73" s="21" t="s">
        <v>78</v>
      </c>
      <c r="C73" s="19">
        <v>25433620</v>
      </c>
      <c r="D73" s="19">
        <v>22524414</v>
      </c>
      <c r="E73" s="19">
        <v>22057197</v>
      </c>
      <c r="F73" s="19">
        <v>21635426</v>
      </c>
      <c r="G73" s="19">
        <f t="shared" si="5"/>
        <v>3376423</v>
      </c>
      <c r="H73" s="18">
        <f t="shared" si="5"/>
        <v>888988</v>
      </c>
    </row>
    <row r="74" spans="1:8" ht="23.45" customHeight="1" outlineLevel="1">
      <c r="A74" s="20">
        <v>15</v>
      </c>
      <c r="B74" s="21" t="s">
        <v>79</v>
      </c>
      <c r="C74" s="19">
        <v>26771732</v>
      </c>
      <c r="D74" s="19">
        <v>6434317</v>
      </c>
      <c r="E74" s="19">
        <v>26318907</v>
      </c>
      <c r="F74" s="19">
        <v>6695587</v>
      </c>
      <c r="G74" s="19">
        <f t="shared" si="5"/>
        <v>452825</v>
      </c>
      <c r="H74" s="18">
        <f t="shared" si="5"/>
        <v>-261270</v>
      </c>
    </row>
    <row r="75" spans="1:8" ht="23.45" customHeight="1" outlineLevel="1">
      <c r="A75" s="20">
        <v>16</v>
      </c>
      <c r="B75" s="21" t="s">
        <v>80</v>
      </c>
      <c r="C75" s="19">
        <v>9705589</v>
      </c>
      <c r="D75" s="19">
        <v>9686945</v>
      </c>
      <c r="E75" s="19">
        <v>9782835</v>
      </c>
      <c r="F75" s="19">
        <v>10085235</v>
      </c>
      <c r="G75" s="19">
        <f t="shared" si="5"/>
        <v>-77246</v>
      </c>
      <c r="H75" s="18">
        <f t="shared" si="5"/>
        <v>-398290</v>
      </c>
    </row>
    <row r="76" spans="1:8" ht="23.45" customHeight="1" outlineLevel="1">
      <c r="A76" s="20">
        <v>17</v>
      </c>
      <c r="B76" s="21" t="s">
        <v>81</v>
      </c>
      <c r="C76" s="19">
        <v>120592</v>
      </c>
      <c r="D76" s="19">
        <v>101289</v>
      </c>
      <c r="E76" s="19">
        <v>116949</v>
      </c>
      <c r="F76" s="19">
        <v>94464</v>
      </c>
      <c r="G76" s="19">
        <f t="shared" si="5"/>
        <v>3643</v>
      </c>
      <c r="H76" s="18">
        <f t="shared" si="5"/>
        <v>6825</v>
      </c>
    </row>
    <row r="77" spans="1:8" ht="23.45" customHeight="1" outlineLevel="1">
      <c r="A77" s="20">
        <v>18</v>
      </c>
      <c r="B77" s="21" t="s">
        <v>82</v>
      </c>
      <c r="C77" s="19">
        <f>40322137+40000</f>
        <v>40362137</v>
      </c>
      <c r="D77" s="19">
        <f>55526366-370000</f>
        <v>55156366</v>
      </c>
      <c r="E77" s="19">
        <v>42902022</v>
      </c>
      <c r="F77" s="19">
        <v>60031527</v>
      </c>
      <c r="G77" s="19">
        <f t="shared" si="5"/>
        <v>-2539885</v>
      </c>
      <c r="H77" s="18">
        <f t="shared" si="5"/>
        <v>-4875161</v>
      </c>
    </row>
    <row r="78" spans="1:8" ht="23.45" customHeight="1" outlineLevel="1">
      <c r="A78" s="20">
        <v>19</v>
      </c>
      <c r="B78" s="21" t="s">
        <v>83</v>
      </c>
      <c r="C78" s="19">
        <v>28487410</v>
      </c>
      <c r="D78" s="19">
        <v>28166533</v>
      </c>
      <c r="E78" s="19">
        <v>27529867</v>
      </c>
      <c r="F78" s="19">
        <v>35272655</v>
      </c>
      <c r="G78" s="19">
        <f t="shared" si="5"/>
        <v>957543</v>
      </c>
      <c r="H78" s="18">
        <f t="shared" si="5"/>
        <v>-7106122</v>
      </c>
    </row>
    <row r="79" spans="1:8" ht="23.45" customHeight="1" outlineLevel="1">
      <c r="A79" s="20">
        <v>20</v>
      </c>
      <c r="B79" s="21" t="s">
        <v>84</v>
      </c>
      <c r="C79" s="19">
        <v>105056597</v>
      </c>
      <c r="D79" s="19">
        <v>112106977</v>
      </c>
      <c r="E79" s="19">
        <v>104885847</v>
      </c>
      <c r="F79" s="19">
        <v>106063822</v>
      </c>
      <c r="G79" s="19">
        <f t="shared" si="5"/>
        <v>170750</v>
      </c>
      <c r="H79" s="18">
        <f t="shared" si="5"/>
        <v>6043155</v>
      </c>
    </row>
    <row r="80" spans="1:8" ht="23.45" customHeight="1" outlineLevel="1">
      <c r="A80" s="20">
        <v>21</v>
      </c>
      <c r="B80" s="21" t="s">
        <v>85</v>
      </c>
      <c r="C80" s="19">
        <v>9791309</v>
      </c>
      <c r="D80" s="19">
        <v>9535578</v>
      </c>
      <c r="E80" s="19">
        <v>11927041</v>
      </c>
      <c r="F80" s="19">
        <v>11260315</v>
      </c>
      <c r="G80" s="19">
        <f t="shared" si="5"/>
        <v>-2135732</v>
      </c>
      <c r="H80" s="18">
        <f t="shared" si="5"/>
        <v>-1724737</v>
      </c>
    </row>
    <row r="81" spans="1:8" ht="23.45" customHeight="1" outlineLevel="1">
      <c r="A81" s="20">
        <v>22</v>
      </c>
      <c r="B81" s="21" t="s">
        <v>86</v>
      </c>
      <c r="C81" s="19">
        <v>80731</v>
      </c>
      <c r="D81" s="19">
        <v>54053</v>
      </c>
      <c r="E81" s="19">
        <v>250000</v>
      </c>
      <c r="F81" s="19">
        <v>229100</v>
      </c>
      <c r="G81" s="19">
        <f t="shared" si="5"/>
        <v>-169269</v>
      </c>
      <c r="H81" s="18">
        <f t="shared" si="5"/>
        <v>-175047</v>
      </c>
    </row>
    <row r="82" spans="1:8" ht="23.45" customHeight="1" outlineLevel="1">
      <c r="A82" s="20">
        <v>23</v>
      </c>
      <c r="B82" s="21" t="s">
        <v>87</v>
      </c>
      <c r="C82" s="19">
        <v>30405178</v>
      </c>
      <c r="D82" s="19">
        <v>29247092</v>
      </c>
      <c r="E82" s="19">
        <v>29219318</v>
      </c>
      <c r="F82" s="19">
        <v>28136022</v>
      </c>
      <c r="G82" s="19">
        <f t="shared" si="5"/>
        <v>1185860</v>
      </c>
      <c r="H82" s="18">
        <f t="shared" si="5"/>
        <v>1111070</v>
      </c>
    </row>
    <row r="83" spans="1:8" ht="23.45" customHeight="1" outlineLevel="1">
      <c r="A83" s="20">
        <v>24</v>
      </c>
      <c r="B83" s="21" t="s">
        <v>88</v>
      </c>
      <c r="C83" s="19">
        <v>439156</v>
      </c>
      <c r="D83" s="19">
        <v>508059</v>
      </c>
      <c r="E83" s="19">
        <v>408622</v>
      </c>
      <c r="F83" s="19">
        <v>482748</v>
      </c>
      <c r="G83" s="19">
        <f t="shared" si="5"/>
        <v>30534</v>
      </c>
      <c r="H83" s="18">
        <f t="shared" si="5"/>
        <v>25311</v>
      </c>
    </row>
    <row r="84" spans="1:8" s="33" customFormat="1" ht="34.35" customHeight="1" outlineLevel="1">
      <c r="A84" s="20">
        <v>25</v>
      </c>
      <c r="B84" s="21" t="s">
        <v>89</v>
      </c>
      <c r="C84" s="19">
        <v>286840</v>
      </c>
      <c r="D84" s="19">
        <v>281641</v>
      </c>
      <c r="E84" s="19">
        <v>297167</v>
      </c>
      <c r="F84" s="19">
        <v>289533</v>
      </c>
      <c r="G84" s="19">
        <f t="shared" si="5"/>
        <v>-10327</v>
      </c>
      <c r="H84" s="18">
        <f t="shared" si="5"/>
        <v>-7892</v>
      </c>
    </row>
    <row r="85" spans="1:8" s="33" customFormat="1" ht="23.45" customHeight="1" outlineLevel="1">
      <c r="A85" s="20">
        <v>26</v>
      </c>
      <c r="B85" s="21" t="s">
        <v>90</v>
      </c>
      <c r="C85" s="19">
        <v>53973</v>
      </c>
      <c r="D85" s="19">
        <v>85005</v>
      </c>
      <c r="E85" s="19">
        <v>48311</v>
      </c>
      <c r="F85" s="19">
        <v>76744</v>
      </c>
      <c r="G85" s="19">
        <f t="shared" si="5"/>
        <v>5662</v>
      </c>
      <c r="H85" s="18">
        <f t="shared" si="5"/>
        <v>8261</v>
      </c>
    </row>
    <row r="86" spans="1:8" ht="34.35" customHeight="1">
      <c r="A86" s="41" t="s">
        <v>91</v>
      </c>
      <c r="B86" s="42"/>
      <c r="C86" s="19">
        <f t="shared" ref="C86:H86" si="8">C87</f>
        <v>18022524</v>
      </c>
      <c r="D86" s="19">
        <f t="shared" si="8"/>
        <v>32620920</v>
      </c>
      <c r="E86" s="19">
        <f t="shared" si="8"/>
        <v>21718272</v>
      </c>
      <c r="F86" s="19">
        <f t="shared" si="8"/>
        <v>23353652</v>
      </c>
      <c r="G86" s="19">
        <f t="shared" si="8"/>
        <v>-3695748</v>
      </c>
      <c r="H86" s="18">
        <f t="shared" si="8"/>
        <v>9267268</v>
      </c>
    </row>
    <row r="87" spans="1:8" ht="34.35" customHeight="1" outlineLevel="1">
      <c r="A87" s="24"/>
      <c r="B87" s="25" t="s">
        <v>92</v>
      </c>
      <c r="C87" s="26">
        <v>18022524</v>
      </c>
      <c r="D87" s="26">
        <f>32648920-28000</f>
        <v>32620920</v>
      </c>
      <c r="E87" s="26">
        <v>21718272</v>
      </c>
      <c r="F87" s="26">
        <v>23353652</v>
      </c>
      <c r="G87" s="26">
        <f t="shared" si="5"/>
        <v>-3695748</v>
      </c>
      <c r="H87" s="27">
        <f t="shared" si="5"/>
        <v>9267268</v>
      </c>
    </row>
    <row r="88" spans="1:8" ht="18" customHeight="1">
      <c r="A88" s="43" t="s">
        <v>93</v>
      </c>
      <c r="B88" s="43"/>
      <c r="C88" s="34"/>
      <c r="D88" s="34"/>
      <c r="E88" s="34"/>
      <c r="F88" s="34"/>
      <c r="G88" s="34"/>
      <c r="H88" s="34"/>
    </row>
    <row r="89" spans="1:8" ht="18.75" customHeight="1">
      <c r="A89" s="35" t="s">
        <v>94</v>
      </c>
      <c r="B89" s="44" t="s">
        <v>95</v>
      </c>
      <c r="C89" s="44"/>
      <c r="D89" s="44"/>
      <c r="E89" s="44"/>
      <c r="F89" s="44"/>
      <c r="G89" s="44"/>
      <c r="H89" s="44"/>
    </row>
    <row r="90" spans="1:8" ht="18.75" customHeight="1">
      <c r="A90" s="35" t="s">
        <v>96</v>
      </c>
      <c r="B90" s="44" t="s">
        <v>97</v>
      </c>
      <c r="C90" s="44"/>
      <c r="D90" s="44"/>
      <c r="E90" s="44"/>
      <c r="F90" s="44"/>
      <c r="G90" s="44"/>
      <c r="H90" s="44"/>
    </row>
    <row r="91" spans="1:8" ht="69" customHeight="1">
      <c r="A91" s="35">
        <v>3</v>
      </c>
      <c r="B91" s="44" t="s">
        <v>98</v>
      </c>
      <c r="C91" s="44"/>
      <c r="D91" s="44"/>
      <c r="E91" s="44"/>
      <c r="F91" s="44"/>
      <c r="G91" s="44"/>
      <c r="H91" s="44"/>
    </row>
    <row r="92" spans="1:8" ht="36.75" customHeight="1">
      <c r="A92" s="35">
        <v>4</v>
      </c>
      <c r="B92" s="40" t="s">
        <v>99</v>
      </c>
      <c r="C92" s="40"/>
      <c r="D92" s="40"/>
      <c r="E92" s="40"/>
      <c r="F92" s="40"/>
      <c r="G92" s="40"/>
      <c r="H92" s="40"/>
    </row>
    <row r="93" spans="1:8" ht="36" customHeight="1">
      <c r="A93" s="35">
        <v>5</v>
      </c>
      <c r="B93" s="39" t="s">
        <v>100</v>
      </c>
      <c r="C93" s="40"/>
      <c r="D93" s="40"/>
      <c r="E93" s="40"/>
      <c r="F93" s="40"/>
      <c r="G93" s="40"/>
      <c r="H93" s="40"/>
    </row>
    <row r="94" spans="1:8" ht="36.75" customHeight="1">
      <c r="A94" s="35">
        <v>6</v>
      </c>
      <c r="B94" s="39" t="s">
        <v>101</v>
      </c>
      <c r="C94" s="40"/>
      <c r="D94" s="40"/>
      <c r="E94" s="40"/>
      <c r="F94" s="40"/>
      <c r="G94" s="40"/>
      <c r="H94" s="40"/>
    </row>
    <row r="95" spans="1:8">
      <c r="A95" s="36"/>
    </row>
    <row r="100" spans="3:8" ht="31.5" customHeight="1"/>
    <row r="101" spans="3:8">
      <c r="E101" s="37"/>
      <c r="F101" s="37"/>
      <c r="H101" s="38"/>
    </row>
    <row r="102" spans="3:8">
      <c r="E102" s="37"/>
      <c r="F102" s="37"/>
      <c r="H102" s="38"/>
    </row>
    <row r="103" spans="3:8">
      <c r="E103" s="37"/>
      <c r="F103" s="37"/>
      <c r="H103" s="38"/>
    </row>
    <row r="104" spans="3:8">
      <c r="E104" s="37"/>
      <c r="F104" s="37"/>
      <c r="H104" s="38"/>
    </row>
    <row r="105" spans="3:8">
      <c r="E105" s="37"/>
      <c r="F105" s="37"/>
      <c r="H105" s="38"/>
    </row>
    <row r="106" spans="3:8">
      <c r="C106" s="2"/>
      <c r="D106" s="2"/>
      <c r="E106" s="37"/>
      <c r="F106" s="37"/>
      <c r="G106" s="37"/>
      <c r="H106" s="37"/>
    </row>
    <row r="107" spans="3:8">
      <c r="E107" s="37"/>
      <c r="F107" s="37"/>
    </row>
  </sheetData>
  <mergeCells count="24">
    <mergeCell ref="A59:B59"/>
    <mergeCell ref="A6:B6"/>
    <mergeCell ref="A7:B7"/>
    <mergeCell ref="G4:H4"/>
    <mergeCell ref="C1:F1"/>
    <mergeCell ref="A2:B2"/>
    <mergeCell ref="C2:F2"/>
    <mergeCell ref="D3:E3"/>
    <mergeCell ref="A4:B5"/>
    <mergeCell ref="C4:D4"/>
    <mergeCell ref="E4:F4"/>
    <mergeCell ref="A8:B8"/>
    <mergeCell ref="A9:B9"/>
    <mergeCell ref="A10:B10"/>
    <mergeCell ref="A26:B26"/>
    <mergeCell ref="A57:B57"/>
    <mergeCell ref="B93:H93"/>
    <mergeCell ref="B94:H94"/>
    <mergeCell ref="A86:B86"/>
    <mergeCell ref="A88:B88"/>
    <mergeCell ref="B89:H89"/>
    <mergeCell ref="B90:H90"/>
    <mergeCell ref="B91:H91"/>
    <mergeCell ref="B92:H92"/>
  </mergeCells>
  <phoneticPr fontId="2" type="noConversion"/>
  <printOptions horizontalCentered="1"/>
  <pageMargins left="0.55118110236220474" right="0.47244094488188981" top="0.39370078740157483" bottom="0.19685039370078741" header="0.31496062992125984" footer="0"/>
  <pageSetup paperSize="9" scale="78" fitToHeight="0" orientation="portrait" blackAndWhite="1" cellComments="asDisplayed" r:id="rId1"/>
  <headerFooter alignWithMargins="0">
    <oddHeader xml:space="preserve">&amp;R&amp;"CourierPS,標準"&amp;19 </oddHeader>
    <oddFooter>&amp;C&amp;P</oddFooter>
  </headerFooter>
  <rowBreaks count="2" manualBreakCount="2">
    <brk id="37" max="7" man="1"/>
    <brk id="7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113法定預算</vt:lpstr>
      <vt:lpstr>'113法定預算'!Print_Area</vt:lpstr>
      <vt:lpstr>'113法定預算'!Print_Titles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楊世奕</dc:creator>
  <cp:lastModifiedBy>柯亭劭</cp:lastModifiedBy>
  <cp:lastPrinted>2025-03-13T03:53:24Z</cp:lastPrinted>
  <dcterms:created xsi:type="dcterms:W3CDTF">2024-01-15T07:38:12Z</dcterms:created>
  <dcterms:modified xsi:type="dcterms:W3CDTF">2025-03-13T06:19:20Z</dcterms:modified>
</cp:coreProperties>
</file>